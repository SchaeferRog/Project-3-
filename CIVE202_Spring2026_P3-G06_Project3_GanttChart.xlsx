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6"/>
  <workbookPr codeName="ThisWorkbook"/>
  <mc:AlternateContent xmlns:mc="http://schemas.openxmlformats.org/markup-compatibility/2006">
    <mc:Choice Requires="x15">
      <x15ac:absPath xmlns:x15ac="http://schemas.microsoft.com/office/spreadsheetml/2010/11/ac" url="https://uofnebraska-my.sharepoint.com/personal/46376985_nebraska_edu/Documents/CIVE - 202/Project 3/"/>
    </mc:Choice>
  </mc:AlternateContent>
  <xr:revisionPtr revIDLastSave="365" documentId="13_ncr:1_{A22CA5E6-337C-40D0-BAA3-ADBD83C1C873}" xr6:coauthVersionLast="47" xr6:coauthVersionMax="47" xr10:uidLastSave="{258F571C-EAAA-C847-BFAD-124E46FC3289}"/>
  <bookViews>
    <workbookView xWindow="4360" yWindow="660" windowWidth="30200" windowHeight="20480" xr2:uid="{00000000-000D-0000-FFFF-FFFF00000000}"/>
  </bookViews>
  <sheets>
    <sheet name="GanttChart" sheetId="9" r:id="rId1"/>
  </sheets>
  <definedNames>
    <definedName name="prevWBS" localSheetId="0">GanttChart!$A1048576</definedName>
    <definedName name="_xlnm.Print_Area" localSheetId="0">GanttChart!$A$1:$BN$28</definedName>
    <definedName name="_xlnm.Print_Titles" localSheetId="0">GanttChart!$4:$7</definedName>
    <definedName name="valuevx">42.314159</definedName>
    <definedName name="vertex42_copyright" hidden="1">"© 2006-2018 Vertex42 LLC"</definedName>
    <definedName name="vertex42_id" hidden="1">"gantt-chart_L.xlsx"</definedName>
    <definedName name="vertex42_title" hidden="1">"Gantt Chart Template"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 i="9" l="1"/>
  <c r="I10" i="9" s="1"/>
  <c r="F28" i="9"/>
  <c r="I28" i="9" s="1"/>
  <c r="F26" i="9"/>
  <c r="I26" i="9" s="1"/>
  <c r="F27" i="9"/>
  <c r="I27" i="9" s="1"/>
  <c r="F25" i="9"/>
  <c r="I25" i="9" s="1"/>
  <c r="F24" i="9"/>
  <c r="I24" i="9" s="1"/>
  <c r="F23" i="9"/>
  <c r="I23" i="9" s="1"/>
  <c r="F22" i="9"/>
  <c r="I22" i="9" s="1"/>
  <c r="F13" i="9"/>
  <c r="I13" i="9" s="1"/>
  <c r="F12" i="9"/>
  <c r="I12" i="9" s="1"/>
  <c r="F11" i="9"/>
  <c r="I11" i="9" s="1"/>
  <c r="F14" i="9"/>
  <c r="I14" i="9" s="1"/>
  <c r="F15" i="9"/>
  <c r="I15" i="9" s="1"/>
  <c r="F9" i="9" l="1"/>
  <c r="I9" i="9" s="1"/>
  <c r="K6" i="9"/>
  <c r="K7" i="9" l="1"/>
  <c r="K4" i="9"/>
  <c r="A8" i="9"/>
  <c r="L6" i="9" l="1"/>
  <c r="F18" i="9" l="1"/>
  <c r="I18" i="9" s="1"/>
  <c r="F17" i="9"/>
  <c r="I17" i="9" s="1"/>
  <c r="M6" i="9"/>
  <c r="N6" i="9" l="1"/>
  <c r="O6" i="9" l="1"/>
  <c r="K5" i="9"/>
  <c r="P6" i="9" l="1"/>
  <c r="L7" i="9"/>
  <c r="Q6" i="9" l="1"/>
  <c r="M7" i="9"/>
  <c r="R6" i="9" l="1"/>
  <c r="N7" i="9"/>
  <c r="S6" i="9" l="1"/>
  <c r="O7" i="9"/>
  <c r="T6" i="9" l="1"/>
  <c r="P7" i="9"/>
  <c r="U6" i="9" l="1"/>
  <c r="Q7" i="9"/>
  <c r="V6" i="9" l="1"/>
  <c r="R7" i="9"/>
  <c r="R5" i="9"/>
  <c r="R4" i="9"/>
  <c r="W6" i="9" l="1"/>
  <c r="S7" i="9"/>
  <c r="X6" i="9" l="1"/>
  <c r="T7" i="9"/>
  <c r="Y6" i="9" l="1"/>
  <c r="U7" i="9"/>
  <c r="Z6" i="9" l="1"/>
  <c r="V7" i="9"/>
  <c r="AA6" i="9" l="1"/>
  <c r="X7" i="9"/>
  <c r="W7" i="9"/>
  <c r="AB6" i="9" l="1"/>
  <c r="Y5" i="9"/>
  <c r="Y4" i="9"/>
  <c r="Y7" i="9"/>
  <c r="AC6" i="9" l="1"/>
  <c r="Z7" i="9"/>
  <c r="AD6" i="9" l="1"/>
  <c r="AA7" i="9"/>
  <c r="AE6" i="9" l="1"/>
  <c r="AB7" i="9"/>
  <c r="AF6" i="9" l="1"/>
  <c r="AC7" i="9"/>
  <c r="AG6" i="9" l="1"/>
  <c r="AD7" i="9"/>
  <c r="AH6" i="9" l="1"/>
  <c r="AE7" i="9"/>
  <c r="AI6" i="9" l="1"/>
  <c r="AF4" i="9"/>
  <c r="AF7" i="9"/>
  <c r="AF5" i="9"/>
  <c r="AJ6" i="9" l="1"/>
  <c r="AG7" i="9"/>
  <c r="AK6" i="9" l="1"/>
  <c r="AH7" i="9"/>
  <c r="AL6" i="9" l="1"/>
  <c r="AI7" i="9"/>
  <c r="AM6" i="9" l="1"/>
  <c r="AJ7" i="9"/>
  <c r="AN6" i="9" l="1"/>
  <c r="AK7" i="9"/>
  <c r="AO6" i="9" l="1"/>
  <c r="AL7" i="9"/>
  <c r="AP6" i="9" l="1"/>
  <c r="AM7" i="9"/>
  <c r="AM5" i="9"/>
  <c r="AM4" i="9"/>
  <c r="AQ6" i="9" l="1"/>
  <c r="AN7" i="9"/>
  <c r="AR6" i="9" l="1"/>
  <c r="AO7" i="9"/>
  <c r="AS6" i="9" l="1"/>
  <c r="AP7" i="9"/>
  <c r="AT6" i="9" l="1"/>
  <c r="AQ7" i="9"/>
  <c r="AU6" i="9" l="1"/>
  <c r="AR7" i="9"/>
  <c r="AV6" i="9" l="1"/>
  <c r="AS7" i="9"/>
  <c r="AW6" i="9" l="1"/>
  <c r="AT7" i="9"/>
  <c r="AT5" i="9"/>
  <c r="AT4" i="9"/>
  <c r="AX6" i="9" l="1"/>
  <c r="AU7" i="9"/>
  <c r="AY6" i="9" l="1"/>
  <c r="AV7" i="9"/>
  <c r="AZ6" i="9" l="1"/>
  <c r="AW7" i="9"/>
  <c r="BA6" i="9" l="1"/>
  <c r="AX7" i="9"/>
  <c r="BB6" i="9" l="1"/>
  <c r="AY7" i="9"/>
  <c r="BC6" i="9" l="1"/>
  <c r="AZ7" i="9"/>
  <c r="BD6" i="9" l="1"/>
  <c r="BA5" i="9"/>
  <c r="BA4" i="9"/>
  <c r="BA7" i="9"/>
  <c r="BE6" i="9" l="1"/>
  <c r="BB7" i="9"/>
  <c r="BF6" i="9" l="1"/>
  <c r="BC7" i="9"/>
  <c r="BG6" i="9" l="1"/>
  <c r="BD7" i="9"/>
  <c r="BH6" i="9" l="1"/>
  <c r="BE7" i="9"/>
  <c r="BI6" i="9" l="1"/>
  <c r="BF7" i="9"/>
  <c r="BJ6" i="9" l="1"/>
  <c r="BG7" i="9"/>
  <c r="BK6" i="9" l="1"/>
  <c r="BH4" i="9"/>
  <c r="BH7" i="9"/>
  <c r="BH5" i="9"/>
  <c r="BL6" i="9" l="1"/>
  <c r="BI7" i="9"/>
  <c r="BM6" i="9" l="1"/>
  <c r="BJ7" i="9"/>
  <c r="BN6" i="9" l="1"/>
  <c r="BK7" i="9"/>
  <c r="BL7" i="9" l="1"/>
  <c r="BM7" i="9" l="1"/>
  <c r="BN7" i="9" l="1"/>
  <c r="A9" i="9" l="1"/>
  <c r="A10" i="9" l="1"/>
  <c r="A11" i="9" s="1"/>
  <c r="A12" i="9" s="1"/>
  <c r="A13" i="9" s="1"/>
  <c r="A14" i="9" s="1"/>
  <c r="A15" i="9" s="1"/>
  <c r="F19" i="9" l="1"/>
  <c r="I19" i="9" s="1"/>
  <c r="A16" i="9" l="1"/>
  <c r="A17" i="9" s="1"/>
  <c r="A18" i="9" s="1"/>
  <c r="A19" i="9" s="1"/>
  <c r="A20" i="9" s="1"/>
  <c r="A21" i="9" s="1"/>
  <c r="F20" i="9"/>
  <c r="I20" i="9" s="1"/>
  <c r="A22" i="9" l="1"/>
  <c r="A23" i="9" s="1"/>
  <c r="A24" i="9" s="1"/>
  <c r="A25" i="9" s="1"/>
  <c r="A26" i="9" s="1"/>
  <c r="A27" i="9" s="1"/>
  <c r="A28" i="9" s="1"/>
  <c r="F21" i="9"/>
  <c r="I21"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author>
    <author>Vertex42.com Templates</author>
  </authors>
  <commentList>
    <comment ref="A7" authorId="0" shapeId="0" xr:uid="{00000000-0006-0000-0000-000001000000}">
      <text>
        <r>
          <rPr>
            <b/>
            <sz val="9"/>
            <color indexed="81"/>
            <rFont val="Tahoma"/>
            <family val="2"/>
          </rPr>
          <t>Work Breakdown Structure</t>
        </r>
        <r>
          <rPr>
            <sz val="9"/>
            <color indexed="81"/>
            <rFont val="Tahoma"/>
            <family val="2"/>
          </rPr>
          <t xml:space="preserve">
Level 1: 1, 2, 3, ...
Level 2: 1.1, 1.2, 1.3, ...
Level 3: 1.1.1, 1.1.2, 1.1.3, …
 - The WBS uses a formula to control the numbering, but the formulas are different for different levels. Copy and Paste the cells in the WBS column from the examples at the bottom of the worksheet.</t>
        </r>
      </text>
    </comment>
    <comment ref="B7" authorId="0" shapeId="0" xr:uid="{00000000-0006-0000-0000-000002000000}">
      <text>
        <r>
          <rPr>
            <b/>
            <sz val="9"/>
            <color indexed="81"/>
            <rFont val="Tahoma"/>
            <family val="2"/>
          </rPr>
          <t>Task Description</t>
        </r>
        <r>
          <rPr>
            <sz val="9"/>
            <color indexed="81"/>
            <rFont val="Tahoma"/>
            <family val="2"/>
          </rPr>
          <t xml:space="preserve">
Enter the name of each task and sub-task. Use indents for sub-tasks.</t>
        </r>
      </text>
    </comment>
    <comment ref="C7" authorId="0" shapeId="0" xr:uid="{00000000-0006-0000-0000-000003000000}">
      <text>
        <r>
          <rPr>
            <b/>
            <sz val="9"/>
            <color indexed="81"/>
            <rFont val="Tahoma"/>
            <family val="2"/>
          </rPr>
          <t>Task Lead</t>
        </r>
        <r>
          <rPr>
            <sz val="9"/>
            <color indexed="81"/>
            <rFont val="Tahoma"/>
            <family val="2"/>
          </rPr>
          <t xml:space="preserve">
Enter the name of the Task Lead in this column.</t>
        </r>
      </text>
    </comment>
    <comment ref="D7" authorId="0" shapeId="0" xr:uid="{00000000-0006-0000-0000-000004000000}">
      <text>
        <r>
          <rPr>
            <b/>
            <sz val="9"/>
            <color indexed="81"/>
            <rFont val="Tahoma"/>
            <family val="2"/>
          </rPr>
          <t xml:space="preserve">Predecessor Tasks:
</t>
        </r>
        <r>
          <rPr>
            <sz val="9"/>
            <color indexed="81"/>
            <rFont val="Tahoma"/>
            <family val="2"/>
          </rPr>
          <t>You can use this column to enter the WBS of a predecessor for reference. The PRO version uses formulas to automatically calculate the Start Date based on the Predecessor.</t>
        </r>
      </text>
    </comment>
    <comment ref="E7" authorId="0" shapeId="0" xr:uid="{00000000-0006-0000-0000-000005000000}">
      <text>
        <r>
          <rPr>
            <b/>
            <sz val="9"/>
            <color indexed="81"/>
            <rFont val="Tahoma"/>
            <family val="2"/>
          </rPr>
          <t>Task Start Date</t>
        </r>
        <r>
          <rPr>
            <sz val="9"/>
            <color indexed="81"/>
            <rFont val="Tahoma"/>
            <family val="2"/>
          </rPr>
          <t xml:space="preserve">
You can manually enter the Start Date for each task or use a formula to create a dependency on a Predecessor. For example, you could enter </t>
        </r>
        <r>
          <rPr>
            <b/>
            <sz val="9"/>
            <color indexed="81"/>
            <rFont val="Tahoma"/>
            <family val="2"/>
          </rPr>
          <t>=</t>
        </r>
        <r>
          <rPr>
            <b/>
            <i/>
            <sz val="9"/>
            <color indexed="81"/>
            <rFont val="Tahoma"/>
            <family val="2"/>
          </rPr>
          <t>enddate</t>
        </r>
        <r>
          <rPr>
            <b/>
            <sz val="9"/>
            <color indexed="81"/>
            <rFont val="Tahoma"/>
            <family val="2"/>
          </rPr>
          <t>+1</t>
        </r>
        <r>
          <rPr>
            <sz val="9"/>
            <color indexed="81"/>
            <rFont val="Tahoma"/>
            <family val="2"/>
          </rPr>
          <t xml:space="preserve"> to set the Start date to the next calendar day, or </t>
        </r>
        <r>
          <rPr>
            <b/>
            <sz val="9"/>
            <color indexed="81"/>
            <rFont val="Tahoma"/>
            <family val="2"/>
          </rPr>
          <t>=WORKDAY(</t>
        </r>
        <r>
          <rPr>
            <b/>
            <i/>
            <sz val="9"/>
            <color indexed="81"/>
            <rFont val="Tahoma"/>
            <family val="2"/>
          </rPr>
          <t>enddate</t>
        </r>
        <r>
          <rPr>
            <b/>
            <sz val="9"/>
            <color indexed="81"/>
            <rFont val="Tahoma"/>
            <family val="2"/>
          </rPr>
          <t>,1)</t>
        </r>
        <r>
          <rPr>
            <sz val="9"/>
            <color indexed="81"/>
            <rFont val="Tahoma"/>
            <family val="2"/>
          </rPr>
          <t xml:space="preserve"> to set the Start date to the next work day (excluding weekends), where </t>
        </r>
        <r>
          <rPr>
            <i/>
            <sz val="9"/>
            <color indexed="81"/>
            <rFont val="Tahoma"/>
            <family val="2"/>
          </rPr>
          <t>enddate</t>
        </r>
        <r>
          <rPr>
            <sz val="9"/>
            <color indexed="81"/>
            <rFont val="Tahoma"/>
            <family val="2"/>
          </rPr>
          <t xml:space="preserve"> is the cell reference for the End date of the Predecessor task.</t>
        </r>
      </text>
    </comment>
    <comment ref="F7" authorId="1" shapeId="0" xr:uid="{00000000-0006-0000-0000-000006000000}">
      <text>
        <r>
          <rPr>
            <b/>
            <sz val="9"/>
            <color rgb="FF000000"/>
            <rFont val="Tahoma"/>
            <family val="2"/>
          </rPr>
          <t>End Date:</t>
        </r>
        <r>
          <rPr>
            <sz val="9"/>
            <color rgb="FF000000"/>
            <rFont val="Tahoma"/>
            <family val="2"/>
          </rPr>
          <t xml:space="preserve">
</t>
        </r>
        <r>
          <rPr>
            <sz val="9"/>
            <color rgb="FF000000"/>
            <rFont val="Tahoma"/>
            <family val="2"/>
          </rPr>
          <t>The End Date is calculated based on the Start Date and the Calendar Days columns.</t>
        </r>
      </text>
    </comment>
    <comment ref="G7" authorId="0" shapeId="0" xr:uid="{00000000-0006-0000-0000-000007000000}">
      <text>
        <r>
          <rPr>
            <b/>
            <sz val="9"/>
            <color indexed="81"/>
            <rFont val="Tahoma"/>
            <family val="2"/>
          </rPr>
          <t>Duration (Calendar Days)</t>
        </r>
        <r>
          <rPr>
            <sz val="9"/>
            <color indexed="81"/>
            <rFont val="Tahoma"/>
            <family val="2"/>
          </rPr>
          <t xml:space="preserve">
The duration is the number of calendar days for the given task. The duration is calculated as the </t>
        </r>
        <r>
          <rPr>
            <b/>
            <sz val="9"/>
            <color indexed="81"/>
            <rFont val="Tahoma"/>
            <family val="2"/>
          </rPr>
          <t>End</t>
        </r>
        <r>
          <rPr>
            <sz val="9"/>
            <color indexed="81"/>
            <rFont val="Tahoma"/>
            <family val="2"/>
          </rPr>
          <t xml:space="preserve"> Date minus the </t>
        </r>
        <r>
          <rPr>
            <b/>
            <sz val="9"/>
            <color indexed="81"/>
            <rFont val="Tahoma"/>
            <family val="2"/>
          </rPr>
          <t>Start</t>
        </r>
        <r>
          <rPr>
            <sz val="9"/>
            <color indexed="81"/>
            <rFont val="Tahoma"/>
            <family val="2"/>
          </rPr>
          <t xml:space="preserve"> Date plus 1 day, so that a task starting and ending on the same day has a duration of 1 day.
</t>
        </r>
        <r>
          <rPr>
            <b/>
            <sz val="9"/>
            <color indexed="81"/>
            <rFont val="Tahoma"/>
            <family val="2"/>
          </rPr>
          <t>Note:</t>
        </r>
        <r>
          <rPr>
            <sz val="9"/>
            <color indexed="81"/>
            <rFont val="Tahoma"/>
            <family val="2"/>
          </rPr>
          <t xml:space="preserve"> The conditional formatting used to create the gantt chart references this column.</t>
        </r>
      </text>
    </comment>
    <comment ref="H7" authorId="0" shapeId="0" xr:uid="{00000000-0006-0000-0000-000008000000}">
      <text>
        <r>
          <rPr>
            <b/>
            <sz val="9"/>
            <color indexed="81"/>
            <rFont val="Tahoma"/>
            <family val="2"/>
          </rPr>
          <t>Percent Complete</t>
        </r>
        <r>
          <rPr>
            <sz val="9"/>
            <color indexed="81"/>
            <rFont val="Tahoma"/>
            <family val="2"/>
          </rPr>
          <t xml:space="preserve">
Update the status of this task by entering the percent complete (between 0% and 100%).</t>
        </r>
      </text>
    </comment>
    <comment ref="I7" authorId="0" shapeId="0" xr:uid="{00000000-0006-0000-0000-000009000000}">
      <text>
        <r>
          <rPr>
            <b/>
            <sz val="9"/>
            <color indexed="81"/>
            <rFont val="Tahoma"/>
            <family val="2"/>
          </rPr>
          <t>Work Days</t>
        </r>
        <r>
          <rPr>
            <sz val="9"/>
            <color indexed="81"/>
            <rFont val="Tahoma"/>
            <family val="2"/>
          </rPr>
          <t xml:space="preserve">
Counts the number of work days, excluding the weekends (Saturday and Sunday). In the PRO version, you can customize the work week and list specific non-working days like holidays. In the PRO version, the default input is the Work Days instead of the Calendar Days.</t>
        </r>
      </text>
    </comment>
  </commentList>
</comments>
</file>

<file path=xl/sharedStrings.xml><?xml version="1.0" encoding="utf-8"?>
<sst xmlns="http://schemas.openxmlformats.org/spreadsheetml/2006/main" count="56" uniqueCount="41">
  <si>
    <t>[Project 3] Project Schedule</t>
  </si>
  <si>
    <t>CIVE 202</t>
  </si>
  <si>
    <t xml:space="preserve">Project Start Date </t>
  </si>
  <si>
    <t xml:space="preserve">Display Week </t>
  </si>
  <si>
    <t xml:space="preserve">Project Lead </t>
  </si>
  <si>
    <t>Schaefer Rogers</t>
  </si>
  <si>
    <t>WBS</t>
  </si>
  <si>
    <t>TASK</t>
  </si>
  <si>
    <t>LEAD</t>
  </si>
  <si>
    <t>PREDECESSOR</t>
  </si>
  <si>
    <t>START</t>
  </si>
  <si>
    <t>END</t>
  </si>
  <si>
    <t>DAYS</t>
  </si>
  <si>
    <t>% DONE</t>
  </si>
  <si>
    <t>WORK DAYS</t>
  </si>
  <si>
    <t>Project Tasks</t>
  </si>
  <si>
    <t>Visualizations</t>
  </si>
  <si>
    <t>SR</t>
  </si>
  <si>
    <t>Bar Chart</t>
  </si>
  <si>
    <t>Histogram</t>
  </si>
  <si>
    <t>Boxplot</t>
  </si>
  <si>
    <t>Time-Series Plots</t>
  </si>
  <si>
    <t>Simulation Study</t>
  </si>
  <si>
    <t>EM</t>
  </si>
  <si>
    <t>Time Sheet Documentation -  Throughout Whole Project</t>
  </si>
  <si>
    <t>ALL</t>
  </si>
  <si>
    <t>Deliverables to Submit</t>
  </si>
  <si>
    <t>Github - Dependent on All Items</t>
  </si>
  <si>
    <t>Data Files</t>
  </si>
  <si>
    <t xml:space="preserve">Complete Python Code </t>
  </si>
  <si>
    <t>Scope of Work (SOW)</t>
  </si>
  <si>
    <t>Gantt Chart</t>
  </si>
  <si>
    <t>Timesheet - Throughout Whole Project</t>
  </si>
  <si>
    <t>Annotated Code Document (ACD)</t>
  </si>
  <si>
    <t>Written Report</t>
  </si>
  <si>
    <t>Introduction/SOW</t>
  </si>
  <si>
    <t>Methods</t>
  </si>
  <si>
    <t>TR</t>
  </si>
  <si>
    <t>Results and Discussion</t>
  </si>
  <si>
    <t>References</t>
  </si>
  <si>
    <t xml:space="preserve">*Yellow highlight Indicates a field is dependent on Python code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</si>
</sst>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d/yyyy\ \(dddd\)"/>
    <numFmt numFmtId="165" formatCode="ddd\ m/dd/yy"/>
    <numFmt numFmtId="166" formatCode="d"/>
    <numFmt numFmtId="167" formatCode="d\ mmm\ yyyy"/>
  </numFmts>
  <fonts count="47">
    <font>
      <sz val="10"/>
      <name val="Arial"/>
    </font>
    <font>
      <sz val="10"/>
      <name val="Arial"/>
      <family val="2"/>
    </font>
    <font>
      <u/>
      <sz val="10"/>
      <color indexed="12"/>
      <name val="Arial"/>
      <family val="2"/>
    </font>
    <font>
      <sz val="8"/>
      <name val="Arial"/>
      <family val="2"/>
    </font>
    <font>
      <u/>
      <sz val="8"/>
      <color indexed="12"/>
      <name val="Arial"/>
      <family val="2"/>
    </font>
    <font>
      <sz val="10"/>
      <name val="Arial"/>
      <family val="2"/>
    </font>
    <font>
      <sz val="14"/>
      <color indexed="56"/>
      <name val="Arial"/>
      <family val="2"/>
    </font>
    <font>
      <sz val="9"/>
      <name val="Arial"/>
      <family val="2"/>
    </font>
    <font>
      <sz val="7"/>
      <color indexed="55"/>
      <name val="Arial"/>
      <family val="2"/>
    </font>
    <font>
      <sz val="11"/>
      <color indexed="8"/>
      <name val="Calibri"/>
      <family val="2"/>
    </font>
    <font>
      <sz val="11"/>
      <color indexed="9"/>
      <name val="Calibri"/>
      <family val="2"/>
    </font>
    <font>
      <sz val="11"/>
      <color indexed="36"/>
      <name val="Calibri"/>
      <family val="2"/>
    </font>
    <font>
      <b/>
      <sz val="11"/>
      <color indexed="50"/>
      <name val="Calibri"/>
      <family val="2"/>
    </font>
    <font>
      <b/>
      <sz val="11"/>
      <color indexed="9"/>
      <name val="Calibri"/>
      <family val="2"/>
    </font>
    <font>
      <i/>
      <sz val="11"/>
      <color indexed="23"/>
      <name val="Calibri"/>
      <family val="2"/>
    </font>
    <font>
      <sz val="11"/>
      <color indexed="17"/>
      <name val="Calibri"/>
      <family val="2"/>
    </font>
    <font>
      <b/>
      <sz val="15"/>
      <color indexed="18"/>
      <name val="Calibri"/>
      <family val="2"/>
    </font>
    <font>
      <b/>
      <sz val="13"/>
      <color indexed="18"/>
      <name val="Calibri"/>
      <family val="2"/>
    </font>
    <font>
      <b/>
      <sz val="11"/>
      <color indexed="18"/>
      <name val="Calibri"/>
      <family val="2"/>
    </font>
    <font>
      <sz val="11"/>
      <color indexed="53"/>
      <name val="Calibri"/>
      <family val="2"/>
    </font>
    <font>
      <sz val="11"/>
      <color indexed="50"/>
      <name val="Calibri"/>
      <family val="2"/>
    </font>
    <font>
      <sz val="11"/>
      <color indexed="59"/>
      <name val="Calibri"/>
      <family val="2"/>
    </font>
    <font>
      <b/>
      <sz val="11"/>
      <color indexed="63"/>
      <name val="Calibri"/>
      <family val="2"/>
    </font>
    <font>
      <b/>
      <sz val="18"/>
      <color indexed="18"/>
      <name val="Cambria"/>
      <family val="2"/>
    </font>
    <font>
      <b/>
      <sz val="11"/>
      <color indexed="8"/>
      <name val="Calibri"/>
      <family val="2"/>
    </font>
    <font>
      <sz val="11"/>
      <color indexed="10"/>
      <name val="Calibri"/>
      <family val="2"/>
    </font>
    <font>
      <b/>
      <sz val="9"/>
      <color indexed="81"/>
      <name val="Tahoma"/>
      <family val="2"/>
    </font>
    <font>
      <sz val="9"/>
      <color indexed="81"/>
      <name val="Tahoma"/>
      <family val="2"/>
    </font>
    <font>
      <b/>
      <i/>
      <sz val="9"/>
      <color indexed="81"/>
      <name val="Tahoma"/>
      <family val="2"/>
    </font>
    <font>
      <i/>
      <sz val="9"/>
      <color indexed="81"/>
      <name val="Tahoma"/>
      <family val="2"/>
    </font>
    <font>
      <sz val="9"/>
      <name val="Arial"/>
      <family val="2"/>
      <scheme val="minor"/>
    </font>
    <font>
      <sz val="10"/>
      <name val="Arial"/>
      <family val="1"/>
      <scheme val="major"/>
    </font>
    <font>
      <sz val="11"/>
      <name val="Arial"/>
      <family val="1"/>
      <scheme val="major"/>
    </font>
    <font>
      <sz val="10"/>
      <name val="Arial"/>
      <family val="2"/>
      <scheme val="minor"/>
    </font>
    <font>
      <b/>
      <sz val="11"/>
      <name val="Arial"/>
      <family val="2"/>
      <scheme val="minor"/>
    </font>
    <font>
      <sz val="9"/>
      <color rgb="FF000000"/>
      <name val="Arial"/>
      <family val="2"/>
      <scheme val="minor"/>
    </font>
    <font>
      <sz val="11"/>
      <name val="Arial"/>
      <family val="2"/>
      <scheme val="minor"/>
    </font>
    <font>
      <sz val="14"/>
      <name val="Arial"/>
      <family val="2"/>
      <scheme val="minor"/>
    </font>
    <font>
      <sz val="14"/>
      <color rgb="FF000000"/>
      <name val="Arial"/>
      <family val="2"/>
      <scheme val="minor"/>
    </font>
    <font>
      <sz val="10"/>
      <name val="Arial"/>
      <family val="2"/>
      <scheme val="major"/>
    </font>
    <font>
      <b/>
      <sz val="9"/>
      <name val="Arial"/>
      <family val="2"/>
      <scheme val="major"/>
    </font>
    <font>
      <b/>
      <sz val="8"/>
      <name val="Arial"/>
      <family val="2"/>
      <scheme val="major"/>
    </font>
    <font>
      <sz val="16"/>
      <color theme="4" tint="-0.249977111117893"/>
      <name val="Arial"/>
      <family val="1"/>
      <scheme val="major"/>
    </font>
    <font>
      <i/>
      <sz val="8"/>
      <color theme="1" tint="0.34998626667073579"/>
      <name val="Arial"/>
      <family val="2"/>
    </font>
    <font>
      <b/>
      <sz val="9"/>
      <color rgb="FF000000"/>
      <name val="Tahoma"/>
      <family val="2"/>
    </font>
    <font>
      <sz val="9"/>
      <color rgb="FF000000"/>
      <name val="Tahoma"/>
      <family val="2"/>
    </font>
    <font>
      <b/>
      <sz val="9"/>
      <name val="Arial"/>
      <family val="2"/>
      <scheme val="minor"/>
    </font>
  </fonts>
  <fills count="26">
    <fill>
      <patternFill patternType="none"/>
    </fill>
    <fill>
      <patternFill patternType="gray125"/>
    </fill>
    <fill>
      <patternFill patternType="solid">
        <fgColor indexed="47"/>
      </patternFill>
    </fill>
    <fill>
      <patternFill patternType="solid">
        <fgColor indexed="46"/>
      </patternFill>
    </fill>
    <fill>
      <patternFill patternType="solid">
        <fgColor indexed="41"/>
      </patternFill>
    </fill>
    <fill>
      <patternFill patternType="solid">
        <fgColor indexed="26"/>
      </patternFill>
    </fill>
    <fill>
      <patternFill patternType="solid">
        <fgColor indexed="51"/>
      </patternFill>
    </fill>
    <fill>
      <patternFill patternType="solid">
        <fgColor indexed="61"/>
      </patternFill>
    </fill>
    <fill>
      <patternFill patternType="solid">
        <fgColor indexed="52"/>
      </patternFill>
    </fill>
    <fill>
      <patternFill patternType="solid">
        <fgColor indexed="20"/>
      </patternFill>
    </fill>
    <fill>
      <patternFill patternType="solid">
        <fgColor indexed="40"/>
      </patternFill>
    </fill>
    <fill>
      <patternFill patternType="solid">
        <fgColor indexed="29"/>
      </patternFill>
    </fill>
    <fill>
      <patternFill patternType="solid">
        <fgColor indexed="14"/>
      </patternFill>
    </fill>
    <fill>
      <patternFill patternType="solid">
        <fgColor indexed="23"/>
      </patternFill>
    </fill>
    <fill>
      <patternFill patternType="solid">
        <fgColor indexed="15"/>
      </patternFill>
    </fill>
    <fill>
      <patternFill patternType="solid">
        <fgColor indexed="10"/>
      </patternFill>
    </fill>
    <fill>
      <patternFill patternType="solid">
        <fgColor indexed="45"/>
      </patternFill>
    </fill>
    <fill>
      <patternFill patternType="solid">
        <fgColor indexed="22"/>
      </patternFill>
    </fill>
    <fill>
      <patternFill patternType="solid">
        <fgColor indexed="55"/>
      </patternFill>
    </fill>
    <fill>
      <patternFill patternType="solid">
        <fgColor indexed="42"/>
      </patternFill>
    </fill>
    <fill>
      <patternFill patternType="solid">
        <fgColor indexed="9"/>
        <bgColor indexed="64"/>
      </patternFill>
    </fill>
    <fill>
      <patternFill patternType="solid">
        <fgColor theme="0" tint="-0.14999847407452621"/>
        <bgColor indexed="64"/>
      </patternFill>
    </fill>
    <fill>
      <patternFill patternType="solid">
        <fgColor theme="3" tint="0.79998168889431442"/>
        <bgColor rgb="FFD6F4D9"/>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s>
  <borders count="22">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40"/>
      </bottom>
      <diagonal/>
    </border>
    <border>
      <left/>
      <right/>
      <top/>
      <bottom style="thick">
        <color indexed="51"/>
      </bottom>
      <diagonal/>
    </border>
    <border>
      <left/>
      <right/>
      <top/>
      <bottom style="medium">
        <color indexed="52"/>
      </bottom>
      <diagonal/>
    </border>
    <border>
      <left/>
      <right/>
      <top/>
      <bottom style="double">
        <color indexed="50"/>
      </bottom>
      <diagonal/>
    </border>
    <border>
      <left style="thin">
        <color indexed="55"/>
      </left>
      <right style="thin">
        <color indexed="55"/>
      </right>
      <top style="thin">
        <color indexed="55"/>
      </top>
      <bottom style="thin">
        <color indexed="55"/>
      </bottom>
      <diagonal/>
    </border>
    <border>
      <left style="thin">
        <color indexed="63"/>
      </left>
      <right style="thin">
        <color indexed="63"/>
      </right>
      <top style="thin">
        <color indexed="63"/>
      </top>
      <bottom style="thin">
        <color indexed="63"/>
      </bottom>
      <diagonal/>
    </border>
    <border>
      <left/>
      <right/>
      <top style="thin">
        <color indexed="40"/>
      </top>
      <bottom style="double">
        <color indexed="40"/>
      </bottom>
      <diagonal/>
    </border>
    <border>
      <left/>
      <right/>
      <top style="thin">
        <color indexed="22"/>
      </top>
      <bottom style="thin">
        <color indexed="22"/>
      </bottom>
      <diagonal/>
    </border>
    <border>
      <left/>
      <right/>
      <top style="thin">
        <color rgb="FFEFEFEF"/>
      </top>
      <bottom style="thin">
        <color rgb="FFEFEFEF"/>
      </bottom>
      <diagonal/>
    </border>
    <border>
      <left style="thin">
        <color theme="0" tint="-0.24994659260841701"/>
      </left>
      <right style="thin">
        <color theme="0" tint="-0.24994659260841701"/>
      </right>
      <top/>
      <bottom/>
      <diagonal/>
    </border>
    <border>
      <left/>
      <right/>
      <top/>
      <bottom style="thin">
        <color indexed="22"/>
      </bottom>
      <diagonal/>
    </border>
    <border>
      <left/>
      <right/>
      <top style="thin">
        <color theme="0" tint="-0.24994659260841701"/>
      </top>
      <bottom style="thin">
        <color theme="0" tint="-0.24994659260841701"/>
      </bottom>
      <diagonal/>
    </border>
    <border>
      <left style="medium">
        <color theme="0" tint="-0.24994659260841701"/>
      </left>
      <right style="thin">
        <color theme="0" tint="-0.24994659260841701"/>
      </right>
      <top/>
      <bottom/>
      <diagonal/>
    </border>
    <border>
      <left style="thin">
        <color theme="0" tint="-0.24994659260841701"/>
      </left>
      <right style="medium">
        <color theme="0" tint="-0.24994659260841701"/>
      </right>
      <top/>
      <bottom/>
      <diagonal/>
    </border>
    <border>
      <left/>
      <right/>
      <top/>
      <bottom style="medium">
        <color theme="0" tint="-0.34998626667073579"/>
      </bottom>
      <diagonal/>
    </border>
    <border>
      <left style="medium">
        <color theme="0" tint="-0.24994659260841701"/>
      </left>
      <right style="thin">
        <color theme="0" tint="-0.24994659260841701"/>
      </right>
      <top/>
      <bottom style="medium">
        <color theme="0" tint="-0.34998626667073579"/>
      </bottom>
      <diagonal/>
    </border>
    <border>
      <left style="thin">
        <color theme="0" tint="-0.24994659260841701"/>
      </left>
      <right style="thin">
        <color theme="0" tint="-0.24994659260841701"/>
      </right>
      <top/>
      <bottom style="medium">
        <color theme="0" tint="-0.34998626667073579"/>
      </bottom>
      <diagonal/>
    </border>
    <border>
      <left style="thin">
        <color theme="0" tint="-0.24994659260841701"/>
      </left>
      <right style="medium">
        <color theme="0" tint="-0.24994659260841701"/>
      </right>
      <top/>
      <bottom style="medium">
        <color theme="0" tint="-0.34998626667073579"/>
      </bottom>
      <diagonal/>
    </border>
    <border>
      <left/>
      <right/>
      <top/>
      <bottom style="thin">
        <color theme="0" tint="-0.24994659260841701"/>
      </bottom>
      <diagonal/>
    </border>
  </borders>
  <cellStyleXfs count="44">
    <xf numFmtId="0" fontId="0" fillId="0" borderId="0"/>
    <xf numFmtId="0" fontId="9" fillId="2"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2" borderId="0" applyNumberFormat="0" applyBorder="0" applyAlignment="0" applyProtection="0"/>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9" fillId="6" borderId="0" applyNumberFormat="0" applyBorder="0" applyAlignment="0" applyProtection="0"/>
    <xf numFmtId="0" fontId="9" fillId="4" borderId="0" applyNumberFormat="0" applyBorder="0" applyAlignment="0" applyProtection="0"/>
    <xf numFmtId="0" fontId="9" fillId="5" borderId="0" applyNumberFormat="0" applyBorder="0" applyAlignment="0" applyProtection="0"/>
    <xf numFmtId="0" fontId="10" fillId="8" borderId="0" applyNumberFormat="0" applyBorder="0" applyAlignment="0" applyProtection="0"/>
    <xf numFmtId="0" fontId="10" fillId="9" borderId="0" applyNumberFormat="0" applyBorder="0" applyAlignment="0" applyProtection="0"/>
    <xf numFmtId="0" fontId="10" fillId="9" borderId="0" applyNumberFormat="0" applyBorder="0" applyAlignment="0" applyProtection="0"/>
    <xf numFmtId="0" fontId="10" fillId="8" borderId="0" applyNumberFormat="0" applyBorder="0" applyAlignment="0" applyProtection="0"/>
    <xf numFmtId="0" fontId="10" fillId="10" borderId="0" applyNumberFormat="0" applyBorder="0" applyAlignment="0" applyProtection="0"/>
    <xf numFmtId="0" fontId="10" fillId="11" borderId="0" applyNumberFormat="0" applyBorder="0" applyAlignment="0" applyProtection="0"/>
    <xf numFmtId="0" fontId="10" fillId="10" borderId="0" applyNumberFormat="0" applyBorder="0" applyAlignment="0" applyProtection="0"/>
    <xf numFmtId="0" fontId="10" fillId="12" borderId="0" applyNumberFormat="0" applyBorder="0" applyAlignment="0" applyProtection="0"/>
    <xf numFmtId="0" fontId="10" fillId="9" borderId="0" applyNumberFormat="0" applyBorder="0" applyAlignment="0" applyProtection="0"/>
    <xf numFmtId="0" fontId="10" fillId="13" borderId="0" applyNumberFormat="0" applyBorder="0" applyAlignment="0" applyProtection="0"/>
    <xf numFmtId="0" fontId="10" fillId="14" borderId="0" applyNumberFormat="0" applyBorder="0" applyAlignment="0" applyProtection="0"/>
    <xf numFmtId="0" fontId="10" fillId="15" borderId="0" applyNumberFormat="0" applyBorder="0" applyAlignment="0" applyProtection="0"/>
    <xf numFmtId="0" fontId="11" fillId="16" borderId="0" applyNumberFormat="0" applyBorder="0" applyAlignment="0" applyProtection="0"/>
    <xf numFmtId="0" fontId="12" fillId="17" borderId="1" applyNumberFormat="0" applyAlignment="0" applyProtection="0"/>
    <xf numFmtId="0" fontId="13" fillId="18" borderId="2" applyNumberFormat="0" applyAlignment="0" applyProtection="0"/>
    <xf numFmtId="0" fontId="14" fillId="0" borderId="0" applyNumberFormat="0" applyFill="0" applyBorder="0" applyAlignment="0" applyProtection="0"/>
    <xf numFmtId="0" fontId="15" fillId="19" borderId="0" applyNumberFormat="0" applyBorder="0" applyAlignment="0" applyProtection="0"/>
    <xf numFmtId="0" fontId="16" fillId="0" borderId="3" applyNumberFormat="0" applyFill="0" applyAlignment="0" applyProtection="0"/>
    <xf numFmtId="0" fontId="17" fillId="0" borderId="4" applyNumberFormat="0" applyFill="0" applyAlignment="0" applyProtection="0"/>
    <xf numFmtId="0" fontId="18" fillId="0" borderId="5" applyNumberFormat="0" applyFill="0" applyAlignment="0" applyProtection="0"/>
    <xf numFmtId="0" fontId="18" fillId="0" borderId="0" applyNumberFormat="0" applyFill="0" applyBorder="0" applyAlignment="0" applyProtection="0"/>
    <xf numFmtId="0" fontId="2" fillId="0" borderId="0" applyNumberFormat="0" applyFill="0" applyBorder="0" applyAlignment="0" applyProtection="0">
      <alignment vertical="top"/>
      <protection locked="0"/>
    </xf>
    <xf numFmtId="0" fontId="19" fillId="11" borderId="1" applyNumberFormat="0" applyAlignment="0" applyProtection="0"/>
    <xf numFmtId="0" fontId="20" fillId="0" borderId="6" applyNumberFormat="0" applyFill="0" applyAlignment="0" applyProtection="0"/>
    <xf numFmtId="0" fontId="21" fillId="5" borderId="0" applyNumberFormat="0" applyBorder="0" applyAlignment="0" applyProtection="0"/>
    <xf numFmtId="0" fontId="5" fillId="5" borderId="7" applyNumberFormat="0" applyFont="0" applyAlignment="0" applyProtection="0"/>
    <xf numFmtId="0" fontId="22" fillId="17" borderId="8" applyNumberFormat="0" applyAlignment="0" applyProtection="0"/>
    <xf numFmtId="9" fontId="1" fillId="0" borderId="0" applyFont="0" applyFill="0" applyBorder="0" applyAlignment="0" applyProtection="0"/>
    <xf numFmtId="0" fontId="23" fillId="0" borderId="0" applyNumberFormat="0" applyFill="0" applyBorder="0" applyAlignment="0" applyProtection="0"/>
    <xf numFmtId="0" fontId="24" fillId="0" borderId="9" applyNumberFormat="0" applyFill="0" applyAlignment="0" applyProtection="0"/>
    <xf numFmtId="0" fontId="25" fillId="0" borderId="0" applyNumberFormat="0" applyFill="0" applyBorder="0" applyAlignment="0" applyProtection="0"/>
  </cellStyleXfs>
  <cellXfs count="68">
    <xf numFmtId="0" fontId="0" fillId="0" borderId="0" xfId="0"/>
    <xf numFmtId="0" fontId="0" fillId="20" borderId="0" xfId="0" applyFill="1"/>
    <xf numFmtId="0" fontId="7" fillId="0" borderId="0" xfId="0" applyFont="1" applyProtection="1">
      <protection locked="0"/>
    </xf>
    <xf numFmtId="0" fontId="2" fillId="0" borderId="0" xfId="34" applyAlignment="1" applyProtection="1">
      <alignment horizontal="left"/>
    </xf>
    <xf numFmtId="0" fontId="0" fillId="0" borderId="0" xfId="0" applyProtection="1">
      <protection locked="0"/>
    </xf>
    <xf numFmtId="0" fontId="4" fillId="20" borderId="0" xfId="34" applyNumberFormat="1" applyFont="1" applyFill="1" applyAlignment="1" applyProtection="1">
      <alignment horizontal="right"/>
      <protection locked="0"/>
    </xf>
    <xf numFmtId="0" fontId="6" fillId="0" borderId="0" xfId="0" applyFont="1" applyAlignment="1" applyProtection="1">
      <alignment vertical="center"/>
      <protection locked="0"/>
    </xf>
    <xf numFmtId="0" fontId="1" fillId="0" borderId="0" xfId="0" applyFont="1"/>
    <xf numFmtId="0" fontId="31" fillId="0" borderId="0" xfId="0" applyFont="1"/>
    <xf numFmtId="0" fontId="32" fillId="0" borderId="0" xfId="0" applyFont="1" applyAlignment="1" applyProtection="1">
      <alignment vertical="center"/>
      <protection locked="0"/>
    </xf>
    <xf numFmtId="0" fontId="34" fillId="21" borderId="10" xfId="0" applyFont="1" applyFill="1" applyBorder="1" applyAlignment="1">
      <alignment horizontal="left" vertical="center"/>
    </xf>
    <xf numFmtId="0" fontId="34" fillId="21" borderId="10" xfId="0" applyFont="1" applyFill="1" applyBorder="1" applyAlignment="1">
      <alignment vertical="center"/>
    </xf>
    <xf numFmtId="0" fontId="30" fillId="21" borderId="10" xfId="0" applyFont="1" applyFill="1" applyBorder="1" applyAlignment="1">
      <alignment vertical="center"/>
    </xf>
    <xf numFmtId="0" fontId="30" fillId="0" borderId="10" xfId="0" applyFont="1" applyBorder="1" applyAlignment="1">
      <alignment horizontal="left" vertical="center"/>
    </xf>
    <xf numFmtId="0" fontId="30" fillId="0" borderId="10" xfId="0" applyFont="1" applyBorder="1" applyAlignment="1">
      <alignment vertical="center"/>
    </xf>
    <xf numFmtId="1" fontId="35" fillId="23" borderId="11" xfId="0" applyNumberFormat="1" applyFont="1" applyFill="1" applyBorder="1" applyAlignment="1">
      <alignment horizontal="center" vertical="center"/>
    </xf>
    <xf numFmtId="9" fontId="35" fillId="23" borderId="11" xfId="40" applyFont="1" applyFill="1" applyBorder="1" applyAlignment="1" applyProtection="1">
      <alignment horizontal="center" vertical="center"/>
    </xf>
    <xf numFmtId="1" fontId="35" fillId="0" borderId="11" xfId="0" applyNumberFormat="1" applyFont="1" applyBorder="1" applyAlignment="1">
      <alignment horizontal="center" vertical="center"/>
    </xf>
    <xf numFmtId="166" fontId="3" fillId="0" borderId="12" xfId="0" applyNumberFormat="1" applyFont="1" applyBorder="1" applyAlignment="1">
      <alignment horizontal="center" vertical="center" shrinkToFit="1"/>
    </xf>
    <xf numFmtId="0" fontId="34" fillId="21" borderId="13" xfId="0" applyFont="1" applyFill="1" applyBorder="1" applyAlignment="1">
      <alignment horizontal="left" vertical="center"/>
    </xf>
    <xf numFmtId="0" fontId="34" fillId="21" borderId="13" xfId="0" applyFont="1" applyFill="1" applyBorder="1" applyAlignment="1">
      <alignment vertical="center"/>
    </xf>
    <xf numFmtId="0" fontId="30" fillId="21" borderId="13" xfId="0" applyFont="1" applyFill="1" applyBorder="1" applyAlignment="1">
      <alignment vertical="center"/>
    </xf>
    <xf numFmtId="0" fontId="30" fillId="21" borderId="13" xfId="0" applyFont="1" applyFill="1" applyBorder="1" applyAlignment="1">
      <alignment horizontal="center" vertical="center"/>
    </xf>
    <xf numFmtId="165" fontId="30" fillId="21" borderId="13" xfId="0" applyNumberFormat="1" applyFont="1" applyFill="1" applyBorder="1" applyAlignment="1">
      <alignment horizontal="right" vertical="center"/>
    </xf>
    <xf numFmtId="1" fontId="30" fillId="21" borderId="13" xfId="40" applyNumberFormat="1" applyFont="1" applyFill="1" applyBorder="1" applyAlignment="1" applyProtection="1">
      <alignment horizontal="center" vertical="center"/>
    </xf>
    <xf numFmtId="9" fontId="30" fillId="21" borderId="13" xfId="40" applyFont="1" applyFill="1" applyBorder="1" applyAlignment="1" applyProtection="1">
      <alignment horizontal="center" vertical="center"/>
    </xf>
    <xf numFmtId="1" fontId="30" fillId="21" borderId="13" xfId="0" applyNumberFormat="1" applyFont="1" applyFill="1" applyBorder="1" applyAlignment="1">
      <alignment horizontal="center" vertical="center"/>
    </xf>
    <xf numFmtId="166" fontId="3" fillId="0" borderId="15" xfId="0" applyNumberFormat="1" applyFont="1" applyBorder="1" applyAlignment="1">
      <alignment horizontal="center" vertical="center" shrinkToFit="1"/>
    </xf>
    <xf numFmtId="166" fontId="3" fillId="0" borderId="16" xfId="0" applyNumberFormat="1" applyFont="1" applyBorder="1" applyAlignment="1">
      <alignment horizontal="center" vertical="center" shrinkToFit="1"/>
    </xf>
    <xf numFmtId="1" fontId="37" fillId="21" borderId="13" xfId="0" applyNumberFormat="1" applyFont="1" applyFill="1" applyBorder="1" applyAlignment="1">
      <alignment horizontal="center" vertical="center"/>
    </xf>
    <xf numFmtId="1" fontId="38" fillId="0" borderId="11" xfId="0" applyNumberFormat="1" applyFont="1" applyBorder="1" applyAlignment="1">
      <alignment horizontal="center" vertical="center"/>
    </xf>
    <xf numFmtId="1" fontId="37" fillId="21" borderId="10" xfId="0" applyNumberFormat="1" applyFont="1" applyFill="1" applyBorder="1" applyAlignment="1">
      <alignment horizontal="center" vertical="center"/>
    </xf>
    <xf numFmtId="165" fontId="35" fillId="22" borderId="11" xfId="0" applyNumberFormat="1" applyFont="1" applyFill="1" applyBorder="1" applyAlignment="1">
      <alignment horizontal="center" vertical="center"/>
    </xf>
    <xf numFmtId="165" fontId="35" fillId="0" borderId="11" xfId="0" applyNumberFormat="1" applyFont="1" applyBorder="1" applyAlignment="1">
      <alignment horizontal="center" vertical="center"/>
    </xf>
    <xf numFmtId="0" fontId="30" fillId="21" borderId="13" xfId="0" applyFont="1" applyFill="1" applyBorder="1" applyAlignment="1">
      <alignment horizontal="left" vertical="center"/>
    </xf>
    <xf numFmtId="9" fontId="30" fillId="0" borderId="10" xfId="0" applyNumberFormat="1" applyFont="1" applyBorder="1" applyAlignment="1">
      <alignment horizontal="left" vertical="center"/>
    </xf>
    <xf numFmtId="0" fontId="30" fillId="21" borderId="10" xfId="0" applyFont="1" applyFill="1" applyBorder="1" applyAlignment="1">
      <alignment horizontal="left" vertical="center"/>
    </xf>
    <xf numFmtId="0" fontId="39" fillId="0" borderId="0" xfId="0" applyFont="1"/>
    <xf numFmtId="0" fontId="39" fillId="0" borderId="0" xfId="0" applyFont="1" applyAlignment="1">
      <alignment horizontal="right" vertical="center"/>
    </xf>
    <xf numFmtId="165" fontId="30" fillId="21" borderId="13" xfId="0" applyNumberFormat="1" applyFont="1" applyFill="1" applyBorder="1" applyAlignment="1">
      <alignment horizontal="center" vertical="center"/>
    </xf>
    <xf numFmtId="0" fontId="40" fillId="0" borderId="17" xfId="0" applyFont="1" applyBorder="1" applyAlignment="1">
      <alignment horizontal="left" vertical="center"/>
    </xf>
    <xf numFmtId="0" fontId="40" fillId="0" borderId="17" xfId="0" applyFont="1" applyBorder="1" applyAlignment="1">
      <alignment horizontal="center" vertical="center" wrapText="1"/>
    </xf>
    <xf numFmtId="0" fontId="41" fillId="0" borderId="17" xfId="0" applyFont="1" applyBorder="1" applyAlignment="1">
      <alignment horizontal="center" vertical="center" wrapText="1"/>
    </xf>
    <xf numFmtId="0" fontId="40" fillId="0" borderId="17" xfId="0" applyFont="1" applyBorder="1" applyAlignment="1">
      <alignment horizontal="center" vertical="center"/>
    </xf>
    <xf numFmtId="0" fontId="30" fillId="0" borderId="18" xfId="0" applyFont="1" applyBorder="1" applyAlignment="1">
      <alignment horizontal="center" vertical="center" shrinkToFit="1"/>
    </xf>
    <xf numFmtId="0" fontId="30" fillId="0" borderId="19" xfId="0" applyFont="1" applyBorder="1" applyAlignment="1">
      <alignment horizontal="center" vertical="center" shrinkToFit="1"/>
    </xf>
    <xf numFmtId="0" fontId="30" fillId="0" borderId="20" xfId="0" applyFont="1" applyBorder="1" applyAlignment="1">
      <alignment horizontal="center" vertical="center" shrinkToFit="1"/>
    </xf>
    <xf numFmtId="0" fontId="42" fillId="0" borderId="0" xfId="0" applyFont="1" applyAlignment="1" applyProtection="1">
      <alignment vertical="center"/>
      <protection locked="0"/>
    </xf>
    <xf numFmtId="0" fontId="30" fillId="0" borderId="10" xfId="0" applyFont="1" applyBorder="1" applyAlignment="1">
      <alignment vertical="center" wrapText="1"/>
    </xf>
    <xf numFmtId="0" fontId="35" fillId="0" borderId="11" xfId="0" applyFont="1" applyBorder="1" applyAlignment="1">
      <alignment horizontal="center" vertical="center"/>
    </xf>
    <xf numFmtId="0" fontId="30" fillId="0" borderId="10" xfId="0" applyFont="1" applyBorder="1" applyAlignment="1">
      <alignment horizontal="left" vertical="center" wrapText="1" indent="1"/>
    </xf>
    <xf numFmtId="0" fontId="33" fillId="0" borderId="21" xfId="0" applyFont="1" applyBorder="1" applyAlignment="1" applyProtection="1">
      <alignment horizontal="center" vertical="center"/>
      <protection locked="0"/>
    </xf>
    <xf numFmtId="0" fontId="1" fillId="0" borderId="0" xfId="0" applyFont="1" applyAlignment="1">
      <alignment horizontal="right" vertical="center"/>
    </xf>
    <xf numFmtId="0" fontId="8" fillId="0" borderId="0" xfId="0" applyFont="1" applyProtection="1">
      <protection locked="0"/>
    </xf>
    <xf numFmtId="0" fontId="30" fillId="24" borderId="10" xfId="0" applyFont="1" applyFill="1" applyBorder="1" applyAlignment="1">
      <alignment vertical="center" wrapText="1"/>
    </xf>
    <xf numFmtId="0" fontId="30" fillId="25" borderId="10" xfId="0" applyFont="1" applyFill="1" applyBorder="1" applyAlignment="1">
      <alignment vertical="center" wrapText="1"/>
    </xf>
    <xf numFmtId="0" fontId="30" fillId="24" borderId="10" xfId="0" applyFont="1" applyFill="1" applyBorder="1" applyAlignment="1">
      <alignment horizontal="left" vertical="center" wrapText="1" indent="1"/>
    </xf>
    <xf numFmtId="0" fontId="46" fillId="24" borderId="10" xfId="0" applyFont="1" applyFill="1" applyBorder="1" applyAlignment="1">
      <alignment vertical="center" wrapText="1"/>
    </xf>
    <xf numFmtId="0" fontId="1" fillId="24" borderId="0" xfId="0" applyFont="1" applyFill="1" applyAlignment="1">
      <alignment horizontal="center"/>
    </xf>
    <xf numFmtId="0" fontId="43" fillId="0" borderId="0" xfId="34" applyFont="1" applyBorder="1" applyAlignment="1" applyProtection="1">
      <alignment horizontal="left" vertical="center"/>
    </xf>
    <xf numFmtId="164" fontId="33" fillId="0" borderId="14" xfId="0" applyNumberFormat="1" applyFont="1" applyBorder="1" applyAlignment="1" applyProtection="1">
      <alignment horizontal="center" vertical="center" shrinkToFit="1"/>
      <protection locked="0"/>
    </xf>
    <xf numFmtId="0" fontId="36" fillId="0" borderId="15" xfId="0" applyFont="1" applyBorder="1" applyAlignment="1">
      <alignment horizontal="center" vertical="center"/>
    </xf>
    <xf numFmtId="0" fontId="36" fillId="0" borderId="12" xfId="0" applyFont="1" applyBorder="1" applyAlignment="1">
      <alignment horizontal="center" vertical="center"/>
    </xf>
    <xf numFmtId="0" fontId="36" fillId="0" borderId="16" xfId="0" applyFont="1" applyBorder="1" applyAlignment="1">
      <alignment horizontal="center" vertical="center"/>
    </xf>
    <xf numFmtId="164" fontId="33" fillId="0" borderId="21" xfId="0" applyNumberFormat="1" applyFont="1" applyBorder="1" applyAlignment="1" applyProtection="1">
      <alignment horizontal="center" vertical="center" shrinkToFit="1"/>
      <protection locked="0"/>
    </xf>
    <xf numFmtId="167" fontId="33" fillId="0" borderId="15" xfId="0" applyNumberFormat="1" applyFont="1" applyBorder="1" applyAlignment="1">
      <alignment horizontal="center" vertical="center"/>
    </xf>
    <xf numFmtId="167" fontId="33" fillId="0" borderId="12" xfId="0" applyNumberFormat="1" applyFont="1" applyBorder="1" applyAlignment="1">
      <alignment horizontal="center" vertical="center"/>
    </xf>
    <xf numFmtId="167" fontId="33" fillId="0" borderId="16" xfId="0" applyNumberFormat="1" applyFont="1" applyBorder="1" applyAlignment="1">
      <alignment horizontal="center" vertical="center"/>
    </xf>
  </cellXfs>
  <cellStyles count="44">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Hyperlink" xfId="34" builtinId="8"/>
    <cellStyle name="Input" xfId="35" builtinId="20" customBuiltin="1"/>
    <cellStyle name="Linked Cell" xfId="36" builtinId="24" customBuiltin="1"/>
    <cellStyle name="Neutral" xfId="37" builtinId="28" customBuiltin="1"/>
    <cellStyle name="Normal" xfId="0" builtinId="0"/>
    <cellStyle name="Note" xfId="38" builtinId="10" customBuiltin="1"/>
    <cellStyle name="Output" xfId="39" builtinId="21" customBuiltin="1"/>
    <cellStyle name="Percent" xfId="40" builtinId="5"/>
    <cellStyle name="Title" xfId="41" builtinId="15" customBuiltin="1"/>
    <cellStyle name="Total" xfId="42" builtinId="25" customBuiltin="1"/>
    <cellStyle name="Warning Text" xfId="43" builtinId="11" customBuiltin="1"/>
  </cellStyles>
  <dxfs count="4">
    <dxf>
      <fill>
        <patternFill>
          <bgColor rgb="FF0070C0"/>
        </patternFill>
      </fill>
    </dxf>
    <dxf>
      <fill>
        <patternFill>
          <bgColor theme="0" tint="-0.499984740745262"/>
        </patternFill>
      </fill>
    </dxf>
    <dxf>
      <border>
        <left style="thin">
          <color rgb="FFC00000"/>
        </left>
        <right style="thin">
          <color rgb="FFC00000"/>
        </right>
        <vertical/>
        <horizontal/>
      </border>
    </dxf>
    <dxf>
      <font>
        <color theme="0"/>
      </font>
      <fill>
        <patternFill>
          <bgColor theme="5"/>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99FF99"/>
      <rgbColor rgb="000000FF"/>
      <rgbColor rgb="00FFFF00"/>
      <rgbColor rgb="00DE3018"/>
      <rgbColor rgb="0053D4C9"/>
      <rgbColor rgb="006B0C00"/>
      <rgbColor rgb="00006500"/>
      <rgbColor rgb="00182C63"/>
      <rgbColor rgb="00819C00"/>
      <rgbColor rgb="00C9B783"/>
      <rgbColor rgb="00007F74"/>
      <rgbColor rgb="00EAEAEA"/>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6699FF"/>
      <rgbColor rgb="00CCECFF"/>
      <rgbColor rgb="00D6F4D9"/>
      <rgbColor rgb="00FFFFCC"/>
      <rgbColor rgb="0099CCFF"/>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CCCC"/>
      <color rgb="FFFF9900"/>
      <color rgb="FF91D0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trlProps/ctrlProp1.xml><?xml version="1.0" encoding="utf-8"?>
<formControlPr xmlns="http://schemas.microsoft.com/office/spreadsheetml/2009/9/main" objectType="Scroll" dx="22" fmlaLink="$H$4" horiz="1" max="100" min="1" page="0" val="0"/>
</file>

<file path=xl/drawings/drawing1.xml><?xml version="1.0" encoding="utf-8"?>
<xdr:wsDr xmlns:xdr="http://schemas.openxmlformats.org/drawingml/2006/spreadsheetDrawing" xmlns:a="http://schemas.openxmlformats.org/drawingml/2006/main">
  <xdr:twoCellAnchor editAs="absolute">
    <xdr:from>
      <xdr:col>8</xdr:col>
      <xdr:colOff>266700</xdr:colOff>
      <xdr:row>6</xdr:row>
      <xdr:rowOff>55289</xdr:rowOff>
    </xdr:from>
    <xdr:to>
      <xdr:col>29</xdr:col>
      <xdr:colOff>57150</xdr:colOff>
      <xdr:row>10</xdr:row>
      <xdr:rowOff>157071</xdr:rowOff>
    </xdr:to>
    <xdr:sp macro="" textlink="">
      <xdr:nvSpPr>
        <xdr:cNvPr id="8236" name="Text Box 44" hidden="1">
          <a:extLst>
            <a:ext uri="{FF2B5EF4-FFF2-40B4-BE49-F238E27FC236}">
              <a16:creationId xmlns:a16="http://schemas.microsoft.com/office/drawing/2014/main" id="{00000000-0008-0000-0000-00002C200000}"/>
            </a:ext>
          </a:extLst>
        </xdr:cNvPr>
        <xdr:cNvSpPr txBox="1">
          <a:spLocks noChangeArrowheads="1"/>
        </xdr:cNvSpPr>
      </xdr:nvSpPr>
      <xdr:spPr bwMode="auto">
        <a:xfrm>
          <a:off x="4953000" y="1371600"/>
          <a:ext cx="3419475" cy="11049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mc:AlternateContent xmlns:mc="http://schemas.openxmlformats.org/markup-compatibility/2006">
    <mc:Choice xmlns:a14="http://schemas.microsoft.com/office/drawing/2010/main" Requires="a14">
      <xdr:twoCellAnchor editAs="oneCell">
        <xdr:from>
          <xdr:col>9</xdr:col>
          <xdr:colOff>101600</xdr:colOff>
          <xdr:row>1</xdr:row>
          <xdr:rowOff>127000</xdr:rowOff>
        </xdr:from>
        <xdr:to>
          <xdr:col>27</xdr:col>
          <xdr:colOff>101600</xdr:colOff>
          <xdr:row>2</xdr:row>
          <xdr:rowOff>114300</xdr:rowOff>
        </xdr:to>
        <xdr:sp macro="" textlink="">
          <xdr:nvSpPr>
            <xdr:cNvPr id="8238" name="Scroll Bar 46" hidden="1">
              <a:extLst>
                <a:ext uri="{63B3BB69-23CF-44E3-9099-C40C66FF867C}">
                  <a14:compatExt spid="_x0000_s8238"/>
                </a:ext>
                <a:ext uri="{FF2B5EF4-FFF2-40B4-BE49-F238E27FC236}">
                  <a16:creationId xmlns:a16="http://schemas.microsoft.com/office/drawing/2014/main" id="{00000000-0008-0000-0000-00002E20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theme/theme1.xml><?xml version="1.0" encoding="utf-8"?>
<a:theme xmlns:a="http://schemas.openxmlformats.org/drawingml/2006/main" name="Office Theme">
  <a:themeElements>
    <a:clrScheme name="v42-Gantt">
      <a:dk1>
        <a:sysClr val="windowText" lastClr="000000"/>
      </a:dk1>
      <a:lt1>
        <a:sysClr val="window" lastClr="FFFFFF"/>
      </a:lt1>
      <a:dk2>
        <a:srgbClr val="3B8741"/>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rial">
      <a:maj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8">
    <pageSetUpPr fitToPage="1"/>
  </sheetPr>
  <dimension ref="A1:BN29"/>
  <sheetViews>
    <sheetView showGridLines="0" tabSelected="1" zoomScale="125" zoomScaleNormal="125" workbookViewId="0">
      <pane ySplit="7" topLeftCell="A8" activePane="bottomLeft" state="frozen"/>
      <selection pane="bottomLeft" activeCell="AS7" sqref="AS7"/>
    </sheetView>
  </sheetViews>
  <sheetFormatPr defaultColWidth="9.140625" defaultRowHeight="12.95"/>
  <cols>
    <col min="1" max="1" width="6.85546875" customWidth="1"/>
    <col min="2" max="2" width="19" customWidth="1"/>
    <col min="3" max="3" width="7.7109375" customWidth="1"/>
    <col min="4" max="4" width="6.85546875" hidden="1" customWidth="1"/>
    <col min="5" max="6" width="12" customWidth="1"/>
    <col min="7" max="7" width="6" customWidth="1"/>
    <col min="8" max="8" width="6.7109375" customWidth="1"/>
    <col min="9" max="9" width="6.28515625" customWidth="1"/>
    <col min="10" max="10" width="1.85546875" customWidth="1"/>
    <col min="11" max="66" width="2.28515625" customWidth="1"/>
  </cols>
  <sheetData>
    <row r="1" spans="1:66" ht="30" customHeight="1">
      <c r="A1" s="47" t="s">
        <v>0</v>
      </c>
      <c r="B1" s="6"/>
      <c r="C1" s="6"/>
      <c r="D1" s="6"/>
      <c r="E1" s="6"/>
      <c r="F1" s="6"/>
      <c r="I1" s="52"/>
      <c r="K1" s="59"/>
      <c r="L1" s="59"/>
      <c r="M1" s="59"/>
      <c r="N1" s="59"/>
      <c r="O1" s="59"/>
      <c r="P1" s="59"/>
      <c r="Q1" s="59"/>
      <c r="R1" s="59"/>
      <c r="S1" s="59"/>
      <c r="T1" s="59"/>
      <c r="U1" s="59"/>
      <c r="V1" s="59"/>
      <c r="W1" s="59"/>
      <c r="X1" s="59"/>
      <c r="Y1" s="59"/>
      <c r="Z1" s="59"/>
      <c r="AA1" s="59"/>
      <c r="AB1" s="59"/>
      <c r="AC1" s="59"/>
      <c r="AD1" s="59"/>
      <c r="AE1" s="59"/>
    </row>
    <row r="2" spans="1:66" ht="18" customHeight="1">
      <c r="A2" s="9" t="s">
        <v>1</v>
      </c>
      <c r="B2" s="2"/>
      <c r="C2" s="2"/>
      <c r="D2" s="5"/>
      <c r="E2" s="53"/>
      <c r="F2" s="53"/>
      <c r="H2" s="1"/>
    </row>
    <row r="3" spans="1:66" ht="14.1">
      <c r="A3" s="9"/>
      <c r="B3" s="7"/>
      <c r="H3" s="1"/>
      <c r="K3" s="3"/>
      <c r="L3" s="3"/>
      <c r="M3" s="3"/>
      <c r="N3" s="3"/>
      <c r="O3" s="3"/>
      <c r="P3" s="3"/>
      <c r="Q3" s="3"/>
      <c r="R3" s="3"/>
      <c r="S3" s="3"/>
      <c r="T3" s="3"/>
      <c r="U3" s="3"/>
      <c r="V3" s="3"/>
      <c r="W3" s="3"/>
      <c r="X3" s="3"/>
      <c r="Y3" s="3"/>
      <c r="Z3" s="3"/>
      <c r="AA3" s="3"/>
    </row>
    <row r="4" spans="1:66" ht="11.1" customHeight="1">
      <c r="A4" s="37"/>
      <c r="B4" s="38" t="s">
        <v>2</v>
      </c>
      <c r="C4" s="64">
        <v>46078</v>
      </c>
      <c r="D4" s="64"/>
      <c r="E4" s="64"/>
      <c r="F4" s="37"/>
      <c r="G4" s="38" t="s">
        <v>3</v>
      </c>
      <c r="H4" s="51">
        <v>1</v>
      </c>
      <c r="I4" s="7"/>
      <c r="J4" s="8"/>
      <c r="K4" s="61" t="str">
        <f>"Week "&amp;(K6-($C$4-WEEKDAY($C$4,1)+2))/7+1</f>
        <v>Week 1</v>
      </c>
      <c r="L4" s="62"/>
      <c r="M4" s="62"/>
      <c r="N4" s="62"/>
      <c r="O4" s="62"/>
      <c r="P4" s="62"/>
      <c r="Q4" s="63"/>
      <c r="R4" s="61" t="str">
        <f>"Week "&amp;(R6-($C$4-WEEKDAY($C$4,1)+2))/7+1</f>
        <v>Week 2</v>
      </c>
      <c r="S4" s="62"/>
      <c r="T4" s="62"/>
      <c r="U4" s="62"/>
      <c r="V4" s="62"/>
      <c r="W4" s="62"/>
      <c r="X4" s="63"/>
      <c r="Y4" s="61" t="str">
        <f>"Week "&amp;(Y6-($C$4-WEEKDAY($C$4,1)+2))/7+1</f>
        <v>Week 3</v>
      </c>
      <c r="Z4" s="62"/>
      <c r="AA4" s="62"/>
      <c r="AB4" s="62"/>
      <c r="AC4" s="62"/>
      <c r="AD4" s="62"/>
      <c r="AE4" s="63"/>
      <c r="AF4" s="61" t="str">
        <f>"Week "&amp;(AF6-($C$4-WEEKDAY($C$4,1)+2))/7+1</f>
        <v>Week 4</v>
      </c>
      <c r="AG4" s="62"/>
      <c r="AH4" s="62"/>
      <c r="AI4" s="62"/>
      <c r="AJ4" s="62"/>
      <c r="AK4" s="62"/>
      <c r="AL4" s="63"/>
      <c r="AM4" s="61" t="str">
        <f>"Week "&amp;(AM6-($C$4-WEEKDAY($C$4,1)+2))/7+1</f>
        <v>Week 5</v>
      </c>
      <c r="AN4" s="62"/>
      <c r="AO4" s="62"/>
      <c r="AP4" s="62"/>
      <c r="AQ4" s="62"/>
      <c r="AR4" s="62"/>
      <c r="AS4" s="63"/>
      <c r="AT4" s="61" t="str">
        <f>"Week "&amp;(AT6-($C$4-WEEKDAY($C$4,1)+2))/7+1</f>
        <v>Week 6</v>
      </c>
      <c r="AU4" s="62"/>
      <c r="AV4" s="62"/>
      <c r="AW4" s="62"/>
      <c r="AX4" s="62"/>
      <c r="AY4" s="62"/>
      <c r="AZ4" s="63"/>
      <c r="BA4" s="61" t="str">
        <f>"Week "&amp;(BA6-($C$4-WEEKDAY($C$4,1)+2))/7+1</f>
        <v>Week 7</v>
      </c>
      <c r="BB4" s="62"/>
      <c r="BC4" s="62"/>
      <c r="BD4" s="62"/>
      <c r="BE4" s="62"/>
      <c r="BF4" s="62"/>
      <c r="BG4" s="63"/>
      <c r="BH4" s="61" t="str">
        <f>"Week "&amp;(BH6-($C$4-WEEKDAY($C$4,1)+2))/7+1</f>
        <v>Week 8</v>
      </c>
      <c r="BI4" s="62"/>
      <c r="BJ4" s="62"/>
      <c r="BK4" s="62"/>
      <c r="BL4" s="62"/>
      <c r="BM4" s="62"/>
      <c r="BN4" s="63"/>
    </row>
    <row r="5" spans="1:66" ht="17.25" customHeight="1">
      <c r="A5" s="37"/>
      <c r="B5" s="38" t="s">
        <v>4</v>
      </c>
      <c r="C5" s="60" t="s">
        <v>5</v>
      </c>
      <c r="D5" s="60"/>
      <c r="E5" s="60"/>
      <c r="F5" s="37"/>
      <c r="G5" s="37"/>
      <c r="H5" s="37"/>
      <c r="I5" s="37"/>
      <c r="J5" s="8"/>
      <c r="K5" s="65">
        <f>K6</f>
        <v>46076</v>
      </c>
      <c r="L5" s="66"/>
      <c r="M5" s="66"/>
      <c r="N5" s="66"/>
      <c r="O5" s="66"/>
      <c r="P5" s="66"/>
      <c r="Q5" s="67"/>
      <c r="R5" s="65">
        <f>R6</f>
        <v>46083</v>
      </c>
      <c r="S5" s="66"/>
      <c r="T5" s="66"/>
      <c r="U5" s="66"/>
      <c r="V5" s="66"/>
      <c r="W5" s="66"/>
      <c r="X5" s="67"/>
      <c r="Y5" s="65">
        <f>Y6</f>
        <v>46090</v>
      </c>
      <c r="Z5" s="66"/>
      <c r="AA5" s="66"/>
      <c r="AB5" s="66"/>
      <c r="AC5" s="66"/>
      <c r="AD5" s="66"/>
      <c r="AE5" s="67"/>
      <c r="AF5" s="65">
        <f>AF6</f>
        <v>46097</v>
      </c>
      <c r="AG5" s="66"/>
      <c r="AH5" s="66"/>
      <c r="AI5" s="66"/>
      <c r="AJ5" s="66"/>
      <c r="AK5" s="66"/>
      <c r="AL5" s="67"/>
      <c r="AM5" s="65">
        <f>AM6</f>
        <v>46104</v>
      </c>
      <c r="AN5" s="66"/>
      <c r="AO5" s="66"/>
      <c r="AP5" s="66"/>
      <c r="AQ5" s="66"/>
      <c r="AR5" s="66"/>
      <c r="AS5" s="67"/>
      <c r="AT5" s="65">
        <f>AT6</f>
        <v>46111</v>
      </c>
      <c r="AU5" s="66"/>
      <c r="AV5" s="66"/>
      <c r="AW5" s="66"/>
      <c r="AX5" s="66"/>
      <c r="AY5" s="66"/>
      <c r="AZ5" s="67"/>
      <c r="BA5" s="65">
        <f>BA6</f>
        <v>46118</v>
      </c>
      <c r="BB5" s="66"/>
      <c r="BC5" s="66"/>
      <c r="BD5" s="66"/>
      <c r="BE5" s="66"/>
      <c r="BF5" s="66"/>
      <c r="BG5" s="67"/>
      <c r="BH5" s="65">
        <f>BH6</f>
        <v>46125</v>
      </c>
      <c r="BI5" s="66"/>
      <c r="BJ5" s="66"/>
      <c r="BK5" s="66"/>
      <c r="BL5" s="66"/>
      <c r="BM5" s="66"/>
      <c r="BN5" s="67"/>
    </row>
    <row r="6" spans="1:66">
      <c r="A6" s="8"/>
      <c r="B6" s="8"/>
      <c r="C6" s="8"/>
      <c r="D6" s="8"/>
      <c r="E6" s="8"/>
      <c r="F6" s="8"/>
      <c r="G6" s="8"/>
      <c r="H6" s="8"/>
      <c r="I6" s="8"/>
      <c r="J6" s="8"/>
      <c r="K6" s="27">
        <f>C4-WEEKDAY(C4,1)+2+7*(H4-1)</f>
        <v>46076</v>
      </c>
      <c r="L6" s="18">
        <f t="shared" ref="L6:AQ6" si="0">K6+1</f>
        <v>46077</v>
      </c>
      <c r="M6" s="18">
        <f t="shared" si="0"/>
        <v>46078</v>
      </c>
      <c r="N6" s="18">
        <f t="shared" si="0"/>
        <v>46079</v>
      </c>
      <c r="O6" s="18">
        <f t="shared" si="0"/>
        <v>46080</v>
      </c>
      <c r="P6" s="18">
        <f t="shared" si="0"/>
        <v>46081</v>
      </c>
      <c r="Q6" s="28">
        <f t="shared" si="0"/>
        <v>46082</v>
      </c>
      <c r="R6" s="27">
        <f t="shared" si="0"/>
        <v>46083</v>
      </c>
      <c r="S6" s="18">
        <f t="shared" si="0"/>
        <v>46084</v>
      </c>
      <c r="T6" s="18">
        <f t="shared" si="0"/>
        <v>46085</v>
      </c>
      <c r="U6" s="18">
        <f t="shared" si="0"/>
        <v>46086</v>
      </c>
      <c r="V6" s="18">
        <f t="shared" si="0"/>
        <v>46087</v>
      </c>
      <c r="W6" s="18">
        <f t="shared" si="0"/>
        <v>46088</v>
      </c>
      <c r="X6" s="28">
        <f t="shared" si="0"/>
        <v>46089</v>
      </c>
      <c r="Y6" s="27">
        <f t="shared" si="0"/>
        <v>46090</v>
      </c>
      <c r="Z6" s="18">
        <f t="shared" si="0"/>
        <v>46091</v>
      </c>
      <c r="AA6" s="18">
        <f t="shared" si="0"/>
        <v>46092</v>
      </c>
      <c r="AB6" s="18">
        <f t="shared" si="0"/>
        <v>46093</v>
      </c>
      <c r="AC6" s="18">
        <f t="shared" si="0"/>
        <v>46094</v>
      </c>
      <c r="AD6" s="18">
        <f t="shared" si="0"/>
        <v>46095</v>
      </c>
      <c r="AE6" s="28">
        <f t="shared" si="0"/>
        <v>46096</v>
      </c>
      <c r="AF6" s="27">
        <f t="shared" si="0"/>
        <v>46097</v>
      </c>
      <c r="AG6" s="18">
        <f t="shared" si="0"/>
        <v>46098</v>
      </c>
      <c r="AH6" s="18">
        <f t="shared" si="0"/>
        <v>46099</v>
      </c>
      <c r="AI6" s="18">
        <f t="shared" si="0"/>
        <v>46100</v>
      </c>
      <c r="AJ6" s="18">
        <f t="shared" si="0"/>
        <v>46101</v>
      </c>
      <c r="AK6" s="18">
        <f t="shared" si="0"/>
        <v>46102</v>
      </c>
      <c r="AL6" s="28">
        <f t="shared" si="0"/>
        <v>46103</v>
      </c>
      <c r="AM6" s="27">
        <f t="shared" si="0"/>
        <v>46104</v>
      </c>
      <c r="AN6" s="18">
        <f t="shared" si="0"/>
        <v>46105</v>
      </c>
      <c r="AO6" s="18">
        <f t="shared" si="0"/>
        <v>46106</v>
      </c>
      <c r="AP6" s="18">
        <f t="shared" si="0"/>
        <v>46107</v>
      </c>
      <c r="AQ6" s="18">
        <f t="shared" si="0"/>
        <v>46108</v>
      </c>
      <c r="AR6" s="18">
        <f t="shared" ref="AR6:BN6" si="1">AQ6+1</f>
        <v>46109</v>
      </c>
      <c r="AS6" s="28">
        <f t="shared" si="1"/>
        <v>46110</v>
      </c>
      <c r="AT6" s="27">
        <f t="shared" si="1"/>
        <v>46111</v>
      </c>
      <c r="AU6" s="18">
        <f t="shared" si="1"/>
        <v>46112</v>
      </c>
      <c r="AV6" s="18">
        <f t="shared" si="1"/>
        <v>46113</v>
      </c>
      <c r="AW6" s="18">
        <f t="shared" si="1"/>
        <v>46114</v>
      </c>
      <c r="AX6" s="18">
        <f t="shared" si="1"/>
        <v>46115</v>
      </c>
      <c r="AY6" s="18">
        <f t="shared" si="1"/>
        <v>46116</v>
      </c>
      <c r="AZ6" s="28">
        <f t="shared" si="1"/>
        <v>46117</v>
      </c>
      <c r="BA6" s="27">
        <f t="shared" si="1"/>
        <v>46118</v>
      </c>
      <c r="BB6" s="18">
        <f t="shared" si="1"/>
        <v>46119</v>
      </c>
      <c r="BC6" s="18">
        <f t="shared" si="1"/>
        <v>46120</v>
      </c>
      <c r="BD6" s="18">
        <f t="shared" si="1"/>
        <v>46121</v>
      </c>
      <c r="BE6" s="18">
        <f t="shared" si="1"/>
        <v>46122</v>
      </c>
      <c r="BF6" s="18">
        <f t="shared" si="1"/>
        <v>46123</v>
      </c>
      <c r="BG6" s="28">
        <f t="shared" si="1"/>
        <v>46124</v>
      </c>
      <c r="BH6" s="27">
        <f t="shared" si="1"/>
        <v>46125</v>
      </c>
      <c r="BI6" s="18">
        <f t="shared" si="1"/>
        <v>46126</v>
      </c>
      <c r="BJ6" s="18">
        <f t="shared" si="1"/>
        <v>46127</v>
      </c>
      <c r="BK6" s="18">
        <f t="shared" si="1"/>
        <v>46128</v>
      </c>
      <c r="BL6" s="18">
        <f t="shared" si="1"/>
        <v>46129</v>
      </c>
      <c r="BM6" s="18">
        <f t="shared" si="1"/>
        <v>46130</v>
      </c>
      <c r="BN6" s="28">
        <f t="shared" si="1"/>
        <v>46131</v>
      </c>
    </row>
    <row r="7" spans="1:66" s="7" customFormat="1" ht="27" thickBot="1">
      <c r="A7" s="40" t="s">
        <v>6</v>
      </c>
      <c r="B7" s="40" t="s">
        <v>7</v>
      </c>
      <c r="C7" s="41" t="s">
        <v>8</v>
      </c>
      <c r="D7" s="42" t="s">
        <v>9</v>
      </c>
      <c r="E7" s="43" t="s">
        <v>10</v>
      </c>
      <c r="F7" s="43" t="s">
        <v>11</v>
      </c>
      <c r="G7" s="41" t="s">
        <v>12</v>
      </c>
      <c r="H7" s="41" t="s">
        <v>13</v>
      </c>
      <c r="I7" s="41" t="s">
        <v>14</v>
      </c>
      <c r="J7" s="41"/>
      <c r="K7" s="44" t="str">
        <f t="shared" ref="K7:AP7" si="2">CHOOSE(WEEKDAY(K6,1),"S","M","T","W","T","F","S")</f>
        <v>M</v>
      </c>
      <c r="L7" s="45" t="str">
        <f t="shared" si="2"/>
        <v>T</v>
      </c>
      <c r="M7" s="45" t="str">
        <f t="shared" si="2"/>
        <v>W</v>
      </c>
      <c r="N7" s="45" t="str">
        <f t="shared" si="2"/>
        <v>T</v>
      </c>
      <c r="O7" s="45" t="str">
        <f t="shared" si="2"/>
        <v>F</v>
      </c>
      <c r="P7" s="45" t="str">
        <f t="shared" si="2"/>
        <v>S</v>
      </c>
      <c r="Q7" s="46" t="str">
        <f t="shared" si="2"/>
        <v>S</v>
      </c>
      <c r="R7" s="44" t="str">
        <f t="shared" si="2"/>
        <v>M</v>
      </c>
      <c r="S7" s="45" t="str">
        <f t="shared" si="2"/>
        <v>T</v>
      </c>
      <c r="T7" s="45" t="str">
        <f t="shared" si="2"/>
        <v>W</v>
      </c>
      <c r="U7" s="45" t="str">
        <f t="shared" si="2"/>
        <v>T</v>
      </c>
      <c r="V7" s="45" t="str">
        <f t="shared" si="2"/>
        <v>F</v>
      </c>
      <c r="W7" s="45" t="str">
        <f t="shared" si="2"/>
        <v>S</v>
      </c>
      <c r="X7" s="46" t="str">
        <f t="shared" si="2"/>
        <v>S</v>
      </c>
      <c r="Y7" s="44" t="str">
        <f t="shared" si="2"/>
        <v>M</v>
      </c>
      <c r="Z7" s="45" t="str">
        <f t="shared" si="2"/>
        <v>T</v>
      </c>
      <c r="AA7" s="45" t="str">
        <f t="shared" si="2"/>
        <v>W</v>
      </c>
      <c r="AB7" s="45" t="str">
        <f t="shared" si="2"/>
        <v>T</v>
      </c>
      <c r="AC7" s="45" t="str">
        <f t="shared" si="2"/>
        <v>F</v>
      </c>
      <c r="AD7" s="45" t="str">
        <f t="shared" si="2"/>
        <v>S</v>
      </c>
      <c r="AE7" s="46" t="str">
        <f t="shared" si="2"/>
        <v>S</v>
      </c>
      <c r="AF7" s="44" t="str">
        <f t="shared" si="2"/>
        <v>M</v>
      </c>
      <c r="AG7" s="45" t="str">
        <f t="shared" si="2"/>
        <v>T</v>
      </c>
      <c r="AH7" s="45" t="str">
        <f t="shared" si="2"/>
        <v>W</v>
      </c>
      <c r="AI7" s="45" t="str">
        <f t="shared" si="2"/>
        <v>T</v>
      </c>
      <c r="AJ7" s="45" t="str">
        <f t="shared" si="2"/>
        <v>F</v>
      </c>
      <c r="AK7" s="45" t="str">
        <f t="shared" si="2"/>
        <v>S</v>
      </c>
      <c r="AL7" s="46" t="str">
        <f t="shared" si="2"/>
        <v>S</v>
      </c>
      <c r="AM7" s="44" t="str">
        <f t="shared" si="2"/>
        <v>M</v>
      </c>
      <c r="AN7" s="45" t="str">
        <f t="shared" si="2"/>
        <v>T</v>
      </c>
      <c r="AO7" s="45" t="str">
        <f t="shared" si="2"/>
        <v>W</v>
      </c>
      <c r="AP7" s="45" t="str">
        <f t="shared" si="2"/>
        <v>T</v>
      </c>
      <c r="AQ7" s="45" t="str">
        <f t="shared" ref="AQ7:BN7" si="3">CHOOSE(WEEKDAY(AQ6,1),"S","M","T","W","T","F","S")</f>
        <v>F</v>
      </c>
      <c r="AR7" s="45" t="str">
        <f t="shared" si="3"/>
        <v>S</v>
      </c>
      <c r="AS7" s="46" t="str">
        <f t="shared" si="3"/>
        <v>S</v>
      </c>
      <c r="AT7" s="44" t="str">
        <f t="shared" si="3"/>
        <v>M</v>
      </c>
      <c r="AU7" s="45" t="str">
        <f t="shared" si="3"/>
        <v>T</v>
      </c>
      <c r="AV7" s="45" t="str">
        <f t="shared" si="3"/>
        <v>W</v>
      </c>
      <c r="AW7" s="45" t="str">
        <f t="shared" si="3"/>
        <v>T</v>
      </c>
      <c r="AX7" s="45" t="str">
        <f t="shared" si="3"/>
        <v>F</v>
      </c>
      <c r="AY7" s="45" t="str">
        <f t="shared" si="3"/>
        <v>S</v>
      </c>
      <c r="AZ7" s="46" t="str">
        <f t="shared" si="3"/>
        <v>S</v>
      </c>
      <c r="BA7" s="44" t="str">
        <f t="shared" si="3"/>
        <v>M</v>
      </c>
      <c r="BB7" s="45" t="str">
        <f t="shared" si="3"/>
        <v>T</v>
      </c>
      <c r="BC7" s="45" t="str">
        <f t="shared" si="3"/>
        <v>W</v>
      </c>
      <c r="BD7" s="45" t="str">
        <f t="shared" si="3"/>
        <v>T</v>
      </c>
      <c r="BE7" s="45" t="str">
        <f t="shared" si="3"/>
        <v>F</v>
      </c>
      <c r="BF7" s="45" t="str">
        <f t="shared" si="3"/>
        <v>S</v>
      </c>
      <c r="BG7" s="46" t="str">
        <f t="shared" si="3"/>
        <v>S</v>
      </c>
      <c r="BH7" s="44" t="str">
        <f t="shared" si="3"/>
        <v>M</v>
      </c>
      <c r="BI7" s="45" t="str">
        <f t="shared" si="3"/>
        <v>T</v>
      </c>
      <c r="BJ7" s="45" t="str">
        <f t="shared" si="3"/>
        <v>W</v>
      </c>
      <c r="BK7" s="45" t="str">
        <f t="shared" si="3"/>
        <v>T</v>
      </c>
      <c r="BL7" s="45" t="str">
        <f t="shared" si="3"/>
        <v>F</v>
      </c>
      <c r="BM7" s="45" t="str">
        <f t="shared" si="3"/>
        <v>S</v>
      </c>
      <c r="BN7" s="46" t="str">
        <f t="shared" si="3"/>
        <v>S</v>
      </c>
    </row>
    <row r="8" spans="1:66" s="12" customFormat="1" ht="18">
      <c r="A8" s="19" t="str">
        <f ca="1">IF(ISERROR(VALUE(SUBSTITUTE(prevWBS,".",""))),"1",IF(ISERROR(FIND("`",SUBSTITUTE(prevWBS,".","`",1))),TEXT(VALUE(prevWBS)+1,"#"),TEXT(VALUE(LEFT(prevWBS,FIND("`",SUBSTITUTE(prevWBS,".","`",1))-1))+1,"#")))</f>
        <v>1</v>
      </c>
      <c r="B8" s="20" t="s">
        <v>15</v>
      </c>
      <c r="C8" s="21"/>
      <c r="D8" s="22"/>
      <c r="E8" s="23"/>
      <c r="F8" s="39"/>
      <c r="G8" s="24"/>
      <c r="H8" s="25"/>
      <c r="I8" s="26"/>
      <c r="J8" s="29"/>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row>
    <row r="9" spans="1:66" s="14" customFormat="1" ht="18">
      <c r="A9" s="13" t="str">
        <f t="shared" ref="A9:A15" ca="1" si="4">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9" s="48" t="s">
        <v>16</v>
      </c>
      <c r="C9" s="14" t="s">
        <v>17</v>
      </c>
      <c r="D9" s="49"/>
      <c r="E9" s="32">
        <v>46078</v>
      </c>
      <c r="F9" s="33">
        <f>IF(ISBLANK(E9)," - ",IF(G9=0,E9,E9+G9-1))</f>
        <v>46112</v>
      </c>
      <c r="G9" s="15">
        <v>35</v>
      </c>
      <c r="H9" s="16">
        <v>1</v>
      </c>
      <c r="I9" s="17">
        <f t="shared" ref="I9:I21" si="5">IF(OR(F9=0,E9=0)," - ",NETWORKDAYS(E9,F9))</f>
        <v>25</v>
      </c>
      <c r="J9" s="30"/>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row>
    <row r="10" spans="1:66" s="14" customFormat="1" ht="18">
      <c r="A10" s="13" t="str">
        <f ca="1">IF(ISERROR(VALUE(SUBSTITUTE(prevWBS,".",""))),"0.0.1",IF(ISERROR(FIND("`",SUBSTITUTE(prevWBS,".","`",2))),prevWBS&amp;".1",LEFT(prevWBS,FIND("`",SUBSTITUTE(prevWBS,".","`",2)))&amp;IF(ISERROR(FIND("`",SUBSTITUTE(prevWBS,".","`",3))),VALUE(RIGHT(prevWBS,LEN(prevWBS)-FIND("`",SUBSTITUTE(prevWBS,".","`",2))))+1,VALUE(MID(prevWBS,FIND("`",SUBSTITUTE(prevWBS,".","`",2))+1,(FIND("`",SUBSTITUTE(prevWBS,".","`",3))-FIND("`",SUBSTITUTE(prevWBS,".","`",2))-1)))+1)))</f>
        <v>1.1.1</v>
      </c>
      <c r="B10" s="50" t="s">
        <v>18</v>
      </c>
      <c r="C10" s="14" t="s">
        <v>17</v>
      </c>
      <c r="D10" s="49"/>
      <c r="E10" s="32">
        <v>46078</v>
      </c>
      <c r="F10" s="33">
        <f>IF(ISBLANK(E10)," - ",IF(G10=0,E10,E10+G10-1))</f>
        <v>46080</v>
      </c>
      <c r="G10" s="15">
        <v>3</v>
      </c>
      <c r="H10" s="16">
        <v>1</v>
      </c>
      <c r="I10" s="17">
        <f>IF(OR(F10=0,E10=0)," - ",NETWORKDAYS(E10,F10))</f>
        <v>3</v>
      </c>
      <c r="J10" s="30"/>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c r="BM10" s="13"/>
      <c r="BN10" s="13"/>
    </row>
    <row r="11" spans="1:66" s="14" customFormat="1" ht="18">
      <c r="A11" s="13" t="str">
        <f ca="1">IF(ISERROR(VALUE(SUBSTITUTE(prevWBS,".",""))),"0.0.1",IF(ISERROR(FIND("`",SUBSTITUTE(prevWBS,".","`",2))),prevWBS&amp;".1",LEFT(prevWBS,FIND("`",SUBSTITUTE(prevWBS,".","`",2)))&amp;IF(ISERROR(FIND("`",SUBSTITUTE(prevWBS,".","`",3))),VALUE(RIGHT(prevWBS,LEN(prevWBS)-FIND("`",SUBSTITUTE(prevWBS,".","`",2))))+1,VALUE(MID(prevWBS,FIND("`",SUBSTITUTE(prevWBS,".","`",2))+1,(FIND("`",SUBSTITUTE(prevWBS,".","`",3))-FIND("`",SUBSTITUTE(prevWBS,".","`",2))-1)))+1)))</f>
        <v>1.1.2</v>
      </c>
      <c r="B11" s="50" t="s">
        <v>19</v>
      </c>
      <c r="C11" s="14" t="s">
        <v>17</v>
      </c>
      <c r="D11" s="49"/>
      <c r="E11" s="32">
        <v>46081</v>
      </c>
      <c r="F11" s="33">
        <f>IF(ISBLANK(E11)," - ",IF(G11=0,E11,E11+G11-1))</f>
        <v>46087</v>
      </c>
      <c r="G11" s="15">
        <v>7</v>
      </c>
      <c r="H11" s="16">
        <v>1</v>
      </c>
      <c r="I11" s="17">
        <f>IF(OR(F11=0,E11=0)," - ",NETWORKDAYS(E11,F11))</f>
        <v>5</v>
      </c>
      <c r="J11" s="30"/>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c r="AR11" s="13"/>
      <c r="AS11" s="13"/>
      <c r="AT11" s="13"/>
      <c r="AU11" s="13"/>
      <c r="AV11" s="13"/>
      <c r="AW11" s="13"/>
      <c r="AX11" s="13"/>
      <c r="AY11" s="13"/>
      <c r="AZ11" s="13"/>
      <c r="BA11" s="13"/>
      <c r="BB11" s="13"/>
      <c r="BC11" s="13"/>
      <c r="BD11" s="13"/>
      <c r="BE11" s="13"/>
      <c r="BF11" s="13"/>
      <c r="BG11" s="13"/>
      <c r="BH11" s="13"/>
      <c r="BI11" s="13"/>
      <c r="BJ11" s="13"/>
      <c r="BK11" s="13"/>
      <c r="BL11" s="13"/>
      <c r="BM11" s="13"/>
      <c r="BN11" s="13"/>
    </row>
    <row r="12" spans="1:66" s="14" customFormat="1" ht="18">
      <c r="A12" s="13" t="str">
        <f ca="1">IF(ISERROR(VALUE(SUBSTITUTE(prevWBS,".",""))),"0.0.1",IF(ISERROR(FIND("`",SUBSTITUTE(prevWBS,".","`",2))),prevWBS&amp;".1",LEFT(prevWBS,FIND("`",SUBSTITUTE(prevWBS,".","`",2)))&amp;IF(ISERROR(FIND("`",SUBSTITUTE(prevWBS,".","`",3))),VALUE(RIGHT(prevWBS,LEN(prevWBS)-FIND("`",SUBSTITUTE(prevWBS,".","`",2))))+1,VALUE(MID(prevWBS,FIND("`",SUBSTITUTE(prevWBS,".","`",2))+1,(FIND("`",SUBSTITUTE(prevWBS,".","`",3))-FIND("`",SUBSTITUTE(prevWBS,".","`",2))-1)))+1)))</f>
        <v>1.1.3</v>
      </c>
      <c r="B12" s="50" t="s">
        <v>20</v>
      </c>
      <c r="C12" s="14" t="s">
        <v>17</v>
      </c>
      <c r="D12" s="49"/>
      <c r="E12" s="32">
        <v>46088</v>
      </c>
      <c r="F12" s="33">
        <f>IF(ISBLANK(E12)," - ",IF(G12=0,E12,E12+G12-1))</f>
        <v>46094</v>
      </c>
      <c r="G12" s="15">
        <v>7</v>
      </c>
      <c r="H12" s="16">
        <v>1</v>
      </c>
      <c r="I12" s="17">
        <f>IF(OR(F12=0,E12=0)," - ",NETWORKDAYS(E12,F12))</f>
        <v>5</v>
      </c>
      <c r="J12" s="30"/>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3"/>
      <c r="AM12" s="13"/>
      <c r="AN12" s="13"/>
      <c r="AO12" s="13"/>
      <c r="AP12" s="13"/>
      <c r="AQ12" s="13"/>
      <c r="AR12" s="13"/>
      <c r="AS12" s="13"/>
      <c r="AT12" s="13"/>
      <c r="AU12" s="13"/>
      <c r="AV12" s="13"/>
      <c r="AW12" s="13"/>
      <c r="AX12" s="13"/>
      <c r="AY12" s="13"/>
      <c r="AZ12" s="13"/>
      <c r="BA12" s="13"/>
      <c r="BB12" s="13"/>
      <c r="BC12" s="13"/>
      <c r="BD12" s="13"/>
      <c r="BE12" s="13"/>
      <c r="BF12" s="13"/>
      <c r="BG12" s="13"/>
      <c r="BH12" s="13"/>
      <c r="BI12" s="13"/>
      <c r="BJ12" s="13"/>
      <c r="BK12" s="13"/>
      <c r="BL12" s="13"/>
      <c r="BM12" s="13"/>
      <c r="BN12" s="13"/>
    </row>
    <row r="13" spans="1:66" s="14" customFormat="1" ht="18">
      <c r="A13" s="13" t="str">
        <f ca="1">IF(ISERROR(VALUE(SUBSTITUTE(prevWBS,".",""))),"0.0.1",IF(ISERROR(FIND("`",SUBSTITUTE(prevWBS,".","`",2))),prevWBS&amp;".1",LEFT(prevWBS,FIND("`",SUBSTITUTE(prevWBS,".","`",2)))&amp;IF(ISERROR(FIND("`",SUBSTITUTE(prevWBS,".","`",3))),VALUE(RIGHT(prevWBS,LEN(prevWBS)-FIND("`",SUBSTITUTE(prevWBS,".","`",2))))+1,VALUE(MID(prevWBS,FIND("`",SUBSTITUTE(prevWBS,".","`",2))+1,(FIND("`",SUBSTITUTE(prevWBS,".","`",3))-FIND("`",SUBSTITUTE(prevWBS,".","`",2))-1)))+1)))</f>
        <v>1.1.4</v>
      </c>
      <c r="B13" s="50" t="s">
        <v>21</v>
      </c>
      <c r="C13" s="14" t="s">
        <v>17</v>
      </c>
      <c r="D13" s="49"/>
      <c r="E13" s="32">
        <v>46094</v>
      </c>
      <c r="F13" s="33">
        <f>IF(ISBLANK(E13)," - ",IF(G13=0,E13,E13+G13-1))</f>
        <v>46100</v>
      </c>
      <c r="G13" s="15">
        <v>7</v>
      </c>
      <c r="H13" s="16">
        <v>1</v>
      </c>
      <c r="I13" s="17">
        <f>IF(OR(F13=0,E13=0)," - ",NETWORKDAYS(E13,F13))</f>
        <v>5</v>
      </c>
      <c r="J13" s="30"/>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c r="BC13" s="13"/>
      <c r="BD13" s="13"/>
      <c r="BE13" s="13"/>
      <c r="BF13" s="13"/>
      <c r="BG13" s="13"/>
      <c r="BH13" s="13"/>
      <c r="BI13" s="13"/>
      <c r="BJ13" s="13"/>
      <c r="BK13" s="13"/>
      <c r="BL13" s="13"/>
      <c r="BM13" s="13"/>
      <c r="BN13" s="13"/>
    </row>
    <row r="14" spans="1:66" s="14" customFormat="1" ht="18">
      <c r="A14" s="13" t="str">
        <f t="shared" ca="1" si="4"/>
        <v>1.2</v>
      </c>
      <c r="B14" s="48" t="s">
        <v>22</v>
      </c>
      <c r="C14" s="14" t="s">
        <v>23</v>
      </c>
      <c r="D14" s="49"/>
      <c r="E14" s="32">
        <v>46094</v>
      </c>
      <c r="F14" s="33">
        <f t="shared" ref="F14:F21" si="6">IF(ISBLANK(E14)," - ",IF(G14=0,E14,E14+G14-1))</f>
        <v>46108</v>
      </c>
      <c r="G14" s="15">
        <v>15</v>
      </c>
      <c r="H14" s="16">
        <v>0</v>
      </c>
      <c r="I14" s="17">
        <f t="shared" si="5"/>
        <v>11</v>
      </c>
      <c r="J14" s="30"/>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c r="AS14" s="13"/>
      <c r="AT14" s="13"/>
      <c r="AU14" s="13"/>
      <c r="AV14" s="13"/>
      <c r="AW14" s="13"/>
      <c r="AX14" s="13"/>
      <c r="AY14" s="13"/>
      <c r="AZ14" s="13"/>
      <c r="BA14" s="13"/>
      <c r="BB14" s="13"/>
      <c r="BC14" s="13"/>
      <c r="BD14" s="13"/>
      <c r="BE14" s="13"/>
      <c r="BF14" s="13"/>
      <c r="BG14" s="13"/>
      <c r="BH14" s="13"/>
      <c r="BI14" s="13"/>
      <c r="BJ14" s="13"/>
      <c r="BK14" s="13"/>
      <c r="BL14" s="13"/>
      <c r="BM14" s="13"/>
      <c r="BN14" s="13"/>
    </row>
    <row r="15" spans="1:66" s="14" customFormat="1" ht="36" customHeight="1">
      <c r="A15" s="13" t="str">
        <f t="shared" ca="1" si="4"/>
        <v>1.3</v>
      </c>
      <c r="B15" s="48" t="s">
        <v>24</v>
      </c>
      <c r="C15" s="14" t="s">
        <v>25</v>
      </c>
      <c r="D15" s="49"/>
      <c r="E15" s="32">
        <v>46078</v>
      </c>
      <c r="F15" s="33">
        <f t="shared" si="6"/>
        <v>46112</v>
      </c>
      <c r="G15" s="15">
        <v>35</v>
      </c>
      <c r="H15" s="16">
        <v>0.5</v>
      </c>
      <c r="I15" s="17">
        <f t="shared" si="5"/>
        <v>25</v>
      </c>
      <c r="J15" s="30"/>
      <c r="K15" s="13"/>
      <c r="L15" s="13"/>
      <c r="M15" s="35"/>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13"/>
      <c r="BE15" s="13"/>
      <c r="BF15" s="13"/>
      <c r="BG15" s="13"/>
      <c r="BH15" s="13"/>
      <c r="BI15" s="13"/>
      <c r="BJ15" s="13"/>
      <c r="BK15" s="13"/>
      <c r="BL15" s="13"/>
      <c r="BM15" s="13"/>
      <c r="BN15" s="13"/>
    </row>
    <row r="16" spans="1:66" s="12" customFormat="1" ht="18">
      <c r="A16" s="10" t="str">
        <f ca="1">IF(ISERROR(VALUE(SUBSTITUTE(prevWBS,".",""))),"1",IF(ISERROR(FIND("`",SUBSTITUTE(prevWBS,".","`",1))),TEXT(VALUE(prevWBS)+1,"#"),TEXT(VALUE(LEFT(prevWBS,FIND("`",SUBSTITUTE(prevWBS,".","`",1))-1))+1,"#")))</f>
        <v>2</v>
      </c>
      <c r="B16" s="11" t="s">
        <v>26</v>
      </c>
      <c r="J16" s="31"/>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row>
    <row r="17" spans="1:66" s="14" customFormat="1" ht="26.1">
      <c r="A17" s="13" t="str">
        <f t="shared" ref="A17:A24" ca="1" si="7">IF(ISERROR(VALUE(SUBSTITUTE(prevWBS,".",""))),"0.1",IF(ISERROR(FIND("`",SUBSTITUTE(prevWBS,".","`",1))),prevWBS&amp;".1",LEFT(prevWBS,FIND("`",SUBSTITUTE(prevWBS,".","`",1)))&amp;IF(ISERROR(FIND("`",SUBSTITUTE(prevWBS,".","`",2))),VALUE(RIGHT(prevWBS,LEN(prevWBS)-FIND("`",SUBSTITUTE(prevWBS,".","`",1))))+1,VALUE(MID(prevWBS,FIND("`",SUBSTITUTE(prevWBS,".","`",1))+1,(FIND("`",SUBSTITUTE(prevWBS,".","`",2))-FIND("`",SUBSTITUTE(prevWBS,".","`",1))-1)))+1)))</f>
        <v>2.1</v>
      </c>
      <c r="B17" s="57" t="s">
        <v>27</v>
      </c>
      <c r="C17" s="14" t="s">
        <v>17</v>
      </c>
      <c r="D17" s="49"/>
      <c r="E17" s="32">
        <v>46108</v>
      </c>
      <c r="F17" s="33">
        <f t="shared" si="6"/>
        <v>46112</v>
      </c>
      <c r="G17" s="15">
        <v>5</v>
      </c>
      <c r="H17" s="16">
        <v>0</v>
      </c>
      <c r="I17" s="17">
        <f t="shared" si="5"/>
        <v>3</v>
      </c>
      <c r="J17" s="30"/>
      <c r="K17" s="13"/>
      <c r="L17" s="13"/>
      <c r="M17" s="13"/>
      <c r="N17" s="13"/>
      <c r="O17" s="13"/>
      <c r="P17" s="13"/>
      <c r="Q17" s="13"/>
      <c r="R17" s="13"/>
      <c r="S17" s="13"/>
      <c r="T17" s="13"/>
      <c r="U17" s="13"/>
      <c r="V17" s="13"/>
      <c r="W17" s="13"/>
      <c r="X17" s="13"/>
      <c r="Y17" s="13"/>
      <c r="Z17" s="13"/>
      <c r="AA17" s="13"/>
      <c r="AB17" s="13"/>
      <c r="AC17" s="13"/>
      <c r="AD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13"/>
      <c r="BE17" s="13"/>
      <c r="BF17" s="13"/>
      <c r="BG17" s="13"/>
      <c r="BH17" s="13"/>
      <c r="BI17" s="13"/>
      <c r="BJ17" s="13"/>
      <c r="BK17" s="13"/>
      <c r="BL17" s="13"/>
      <c r="BM17" s="13"/>
      <c r="BN17" s="13"/>
    </row>
    <row r="18" spans="1:66" s="14" customFormat="1" ht="18">
      <c r="A18" s="13" t="str">
        <f t="shared" ca="1" si="7"/>
        <v>2.2</v>
      </c>
      <c r="B18" s="48" t="s">
        <v>28</v>
      </c>
      <c r="C18" s="14" t="s">
        <v>17</v>
      </c>
      <c r="D18" s="49"/>
      <c r="E18" s="32">
        <v>46108</v>
      </c>
      <c r="F18" s="33">
        <f t="shared" si="6"/>
        <v>46108</v>
      </c>
      <c r="G18" s="15">
        <v>1</v>
      </c>
      <c r="H18" s="16">
        <v>0</v>
      </c>
      <c r="I18" s="17">
        <f t="shared" si="5"/>
        <v>1</v>
      </c>
      <c r="J18" s="30"/>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13"/>
      <c r="BE18" s="13"/>
      <c r="BF18" s="13"/>
      <c r="BG18" s="13"/>
      <c r="BH18" s="13"/>
      <c r="BI18" s="13"/>
      <c r="BJ18" s="13"/>
      <c r="BK18" s="13"/>
      <c r="BL18" s="13"/>
      <c r="BM18" s="13"/>
      <c r="BN18" s="13"/>
    </row>
    <row r="19" spans="1:66" s="14" customFormat="1" ht="18">
      <c r="A19" s="13" t="str">
        <f t="shared" ca="1" si="7"/>
        <v>2.3</v>
      </c>
      <c r="B19" s="48" t="s">
        <v>29</v>
      </c>
      <c r="C19" s="14" t="s">
        <v>17</v>
      </c>
      <c r="D19" s="49"/>
      <c r="E19" s="32">
        <v>46080</v>
      </c>
      <c r="F19" s="33">
        <f t="shared" si="6"/>
        <v>46112</v>
      </c>
      <c r="G19" s="15">
        <v>33</v>
      </c>
      <c r="H19" s="16">
        <v>0</v>
      </c>
      <c r="I19" s="17">
        <f t="shared" si="5"/>
        <v>23</v>
      </c>
      <c r="J19" s="30"/>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13"/>
      <c r="BE19" s="13"/>
      <c r="BF19" s="13"/>
      <c r="BG19" s="13"/>
      <c r="BH19" s="13"/>
      <c r="BI19" s="13"/>
      <c r="BJ19" s="13"/>
      <c r="BK19" s="13"/>
      <c r="BL19" s="13"/>
      <c r="BM19" s="13"/>
      <c r="BN19" s="13"/>
    </row>
    <row r="20" spans="1:66" s="14" customFormat="1" ht="18">
      <c r="A20" s="13" t="str">
        <f t="shared" ca="1" si="7"/>
        <v>2.4</v>
      </c>
      <c r="B20" s="48" t="s">
        <v>30</v>
      </c>
      <c r="C20" s="14" t="s">
        <v>25</v>
      </c>
      <c r="D20" s="49"/>
      <c r="E20" s="32">
        <v>46078</v>
      </c>
      <c r="F20" s="33">
        <f t="shared" si="6"/>
        <v>46091</v>
      </c>
      <c r="G20" s="15">
        <v>14</v>
      </c>
      <c r="H20" s="16">
        <v>1</v>
      </c>
      <c r="I20" s="17">
        <f t="shared" si="5"/>
        <v>10</v>
      </c>
      <c r="J20" s="30"/>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13"/>
      <c r="BE20" s="13"/>
      <c r="BF20" s="13"/>
      <c r="BG20" s="13"/>
      <c r="BH20" s="13"/>
      <c r="BI20" s="13"/>
      <c r="BJ20" s="13"/>
      <c r="BK20" s="13"/>
      <c r="BL20" s="13"/>
      <c r="BM20" s="13"/>
      <c r="BN20" s="13"/>
    </row>
    <row r="21" spans="1:66" s="14" customFormat="1" ht="18">
      <c r="A21" s="13" t="str">
        <f t="shared" ca="1" si="7"/>
        <v>2.5</v>
      </c>
      <c r="B21" s="48" t="s">
        <v>31</v>
      </c>
      <c r="C21" s="14" t="s">
        <v>17</v>
      </c>
      <c r="D21" s="49"/>
      <c r="E21" s="32">
        <v>46078</v>
      </c>
      <c r="F21" s="33">
        <f t="shared" si="6"/>
        <v>46080</v>
      </c>
      <c r="G21" s="15">
        <v>3</v>
      </c>
      <c r="H21" s="16">
        <v>1</v>
      </c>
      <c r="I21" s="17">
        <f t="shared" si="5"/>
        <v>3</v>
      </c>
      <c r="J21" s="30"/>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13"/>
      <c r="BE21" s="13"/>
      <c r="BF21" s="13"/>
      <c r="BG21" s="13"/>
      <c r="BH21" s="13"/>
      <c r="BI21" s="13"/>
      <c r="BJ21" s="13"/>
      <c r="BK21" s="13"/>
      <c r="BL21" s="13"/>
      <c r="BM21" s="13"/>
      <c r="BN21" s="13"/>
    </row>
    <row r="22" spans="1:66" s="14" customFormat="1" ht="26.1">
      <c r="A22" s="13" t="str">
        <f t="shared" ca="1" si="7"/>
        <v>2.6</v>
      </c>
      <c r="B22" s="48" t="s">
        <v>32</v>
      </c>
      <c r="C22" s="14" t="s">
        <v>25</v>
      </c>
      <c r="D22" s="49"/>
      <c r="E22" s="32">
        <v>46078</v>
      </c>
      <c r="F22" s="33">
        <f t="shared" ref="F22:F24" si="8">IF(ISBLANK(E22)," - ",IF(G22=0,E22,E22+G22-1))</f>
        <v>46112</v>
      </c>
      <c r="G22" s="15">
        <v>35</v>
      </c>
      <c r="H22" s="16">
        <v>0.5</v>
      </c>
      <c r="I22" s="17">
        <f t="shared" ref="I22:I24" si="9">IF(OR(F22=0,E22=0)," - ",NETWORKDAYS(E22,F22))</f>
        <v>25</v>
      </c>
      <c r="J22" s="30"/>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13"/>
      <c r="BE22" s="13"/>
      <c r="BF22" s="13"/>
      <c r="BG22" s="13"/>
      <c r="BH22" s="13"/>
      <c r="BI22" s="13"/>
      <c r="BJ22" s="13"/>
      <c r="BK22" s="13"/>
      <c r="BL22" s="13"/>
      <c r="BM22" s="13"/>
      <c r="BN22" s="13"/>
    </row>
    <row r="23" spans="1:66" s="14" customFormat="1" ht="26.1">
      <c r="A23" s="13" t="str">
        <f t="shared" ca="1" si="7"/>
        <v>2.7</v>
      </c>
      <c r="B23" s="54" t="s">
        <v>33</v>
      </c>
      <c r="C23" s="14" t="s">
        <v>17</v>
      </c>
      <c r="D23" s="49"/>
      <c r="E23" s="32">
        <v>46094</v>
      </c>
      <c r="F23" s="33">
        <f t="shared" si="8"/>
        <v>46109</v>
      </c>
      <c r="G23" s="15">
        <v>16</v>
      </c>
      <c r="H23" s="16">
        <v>0</v>
      </c>
      <c r="I23" s="17">
        <f t="shared" si="9"/>
        <v>11</v>
      </c>
      <c r="J23" s="30"/>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13"/>
      <c r="BE23" s="13"/>
      <c r="BF23" s="13"/>
      <c r="BG23" s="13"/>
      <c r="BH23" s="13"/>
      <c r="BI23" s="13"/>
      <c r="BJ23" s="13"/>
      <c r="BK23" s="13"/>
      <c r="BL23" s="13"/>
      <c r="BM23" s="13"/>
      <c r="BN23" s="13"/>
    </row>
    <row r="24" spans="1:66" s="14" customFormat="1" ht="18">
      <c r="A24" s="13" t="str">
        <f t="shared" ca="1" si="7"/>
        <v>2.8</v>
      </c>
      <c r="B24" s="55" t="s">
        <v>34</v>
      </c>
      <c r="C24" s="14" t="s">
        <v>25</v>
      </c>
      <c r="D24" s="49"/>
      <c r="E24" s="32">
        <v>46078</v>
      </c>
      <c r="F24" s="33">
        <f t="shared" si="8"/>
        <v>46112</v>
      </c>
      <c r="G24" s="15">
        <v>35</v>
      </c>
      <c r="H24" s="16">
        <v>0</v>
      </c>
      <c r="I24" s="17">
        <f t="shared" si="9"/>
        <v>25</v>
      </c>
      <c r="J24" s="30"/>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13"/>
      <c r="BE24" s="13"/>
      <c r="BF24" s="13"/>
      <c r="BG24" s="13"/>
      <c r="BH24" s="13"/>
      <c r="BI24" s="13"/>
      <c r="BJ24" s="13"/>
      <c r="BK24" s="13"/>
      <c r="BL24" s="13"/>
      <c r="BM24" s="13"/>
      <c r="BN24" s="13"/>
    </row>
    <row r="25" spans="1:66" s="14" customFormat="1" ht="18">
      <c r="A25" s="13" t="str">
        <f ca="1">IF(ISERROR(VALUE(SUBSTITUTE(prevWBS,".",""))),"0.0.1",IF(ISERROR(FIND("`",SUBSTITUTE(prevWBS,".","`",2))),prevWBS&amp;".1",LEFT(prevWBS,FIND("`",SUBSTITUTE(prevWBS,".","`",2)))&amp;IF(ISERROR(FIND("`",SUBSTITUTE(prevWBS,".","`",3))),VALUE(RIGHT(prevWBS,LEN(prevWBS)-FIND("`",SUBSTITUTE(prevWBS,".","`",2))))+1,VALUE(MID(prevWBS,FIND("`",SUBSTITUTE(prevWBS,".","`",2))+1,(FIND("`",SUBSTITUTE(prevWBS,".","`",3))-FIND("`",SUBSTITUTE(prevWBS,".","`",2))-1)))+1)))</f>
        <v>2.8.1</v>
      </c>
      <c r="B25" s="50" t="s">
        <v>35</v>
      </c>
      <c r="C25" s="14" t="s">
        <v>25</v>
      </c>
      <c r="D25" s="49"/>
      <c r="E25" s="32">
        <v>46078</v>
      </c>
      <c r="F25" s="33">
        <f>IF(ISBLANK(E25)," - ",IF(G25=0,E25,E25+G25-1))</f>
        <v>46091</v>
      </c>
      <c r="G25" s="15">
        <v>14</v>
      </c>
      <c r="H25" s="16">
        <v>1</v>
      </c>
      <c r="I25" s="17">
        <f>IF(OR(F25=0,E25=0)," - ",NETWORKDAYS(E25,F25))</f>
        <v>10</v>
      </c>
      <c r="J25" s="30"/>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13"/>
      <c r="BE25" s="13"/>
      <c r="BF25" s="13"/>
      <c r="BG25" s="13"/>
      <c r="BH25" s="13"/>
      <c r="BI25" s="13"/>
      <c r="BJ25" s="13"/>
      <c r="BK25" s="13"/>
      <c r="BL25" s="13"/>
      <c r="BM25" s="13"/>
      <c r="BN25" s="13"/>
    </row>
    <row r="26" spans="1:66" s="14" customFormat="1" ht="18">
      <c r="A26" s="13" t="str">
        <f ca="1">IF(ISERROR(VALUE(SUBSTITUTE(prevWBS,".",""))),"0.0.1",IF(ISERROR(FIND("`",SUBSTITUTE(prevWBS,".","`",2))),prevWBS&amp;".1",LEFT(prevWBS,FIND("`",SUBSTITUTE(prevWBS,".","`",2)))&amp;IF(ISERROR(FIND("`",SUBSTITUTE(prevWBS,".","`",3))),VALUE(RIGHT(prevWBS,LEN(prevWBS)-FIND("`",SUBSTITUTE(prevWBS,".","`",2))))+1,VALUE(MID(prevWBS,FIND("`",SUBSTITUTE(prevWBS,".","`",2))+1,(FIND("`",SUBSTITUTE(prevWBS,".","`",3))-FIND("`",SUBSTITUTE(prevWBS,".","`",2))-1)))+1)))</f>
        <v>2.8.2</v>
      </c>
      <c r="B26" s="50" t="s">
        <v>36</v>
      </c>
      <c r="C26" s="14" t="s">
        <v>37</v>
      </c>
      <c r="D26" s="49"/>
      <c r="E26" s="32">
        <v>46092</v>
      </c>
      <c r="F26" s="33">
        <f>IF(ISBLANK(E26)," - ",IF(G26=0,E26,E26+G26-1))</f>
        <v>46105</v>
      </c>
      <c r="G26" s="15">
        <v>14</v>
      </c>
      <c r="H26" s="16">
        <v>0</v>
      </c>
      <c r="I26" s="17">
        <f>IF(OR(F26=0,E26=0)," - ",NETWORKDAYS(E26,F26))</f>
        <v>10</v>
      </c>
      <c r="J26" s="30"/>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c r="AN26" s="13"/>
      <c r="AO26" s="13"/>
      <c r="AP26" s="13"/>
      <c r="AQ26" s="13"/>
      <c r="AR26" s="13"/>
      <c r="AS26" s="13"/>
      <c r="AT26" s="13"/>
      <c r="AU26" s="13"/>
      <c r="AV26" s="13"/>
      <c r="AW26" s="13"/>
      <c r="AX26" s="13"/>
      <c r="AY26" s="13"/>
      <c r="AZ26" s="13"/>
      <c r="BA26" s="13"/>
      <c r="BB26" s="13"/>
      <c r="BC26" s="13"/>
      <c r="BD26" s="13"/>
      <c r="BE26" s="13"/>
      <c r="BF26" s="13"/>
      <c r="BG26" s="13"/>
      <c r="BH26" s="13"/>
      <c r="BI26" s="13"/>
      <c r="BJ26" s="13"/>
      <c r="BK26" s="13"/>
      <c r="BL26" s="13"/>
      <c r="BM26" s="13"/>
      <c r="BN26" s="13"/>
    </row>
    <row r="27" spans="1:66" s="14" customFormat="1" ht="18">
      <c r="A27" s="13" t="str">
        <f ca="1">IF(ISERROR(VALUE(SUBSTITUTE(prevWBS,".",""))),"0.0.1",IF(ISERROR(FIND("`",SUBSTITUTE(prevWBS,".","`",2))),prevWBS&amp;".1",LEFT(prevWBS,FIND("`",SUBSTITUTE(prevWBS,".","`",2)))&amp;IF(ISERROR(FIND("`",SUBSTITUTE(prevWBS,".","`",3))),VALUE(RIGHT(prevWBS,LEN(prevWBS)-FIND("`",SUBSTITUTE(prevWBS,".","`",2))))+1,VALUE(MID(prevWBS,FIND("`",SUBSTITUTE(prevWBS,".","`",2))+1,(FIND("`",SUBSTITUTE(prevWBS,".","`",3))-FIND("`",SUBSTITUTE(prevWBS,".","`",2))-1)))+1)))</f>
        <v>2.8.3</v>
      </c>
      <c r="B27" s="56" t="s">
        <v>38</v>
      </c>
      <c r="C27" s="14" t="s">
        <v>37</v>
      </c>
      <c r="D27" s="49"/>
      <c r="E27" s="32">
        <v>46094</v>
      </c>
      <c r="F27" s="33">
        <f>IF(ISBLANK(E27)," - ",IF(G27=0,E27,E27+G27-1))</f>
        <v>46112</v>
      </c>
      <c r="G27" s="15">
        <v>19</v>
      </c>
      <c r="H27" s="16">
        <v>0</v>
      </c>
      <c r="I27" s="17">
        <f>IF(OR(F27=0,E27=0)," - ",NETWORKDAYS(E27,F27))</f>
        <v>13</v>
      </c>
      <c r="J27" s="30"/>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c r="BC27" s="13"/>
      <c r="BD27" s="13"/>
      <c r="BE27" s="13"/>
      <c r="BF27" s="13"/>
      <c r="BG27" s="13"/>
      <c r="BH27" s="13"/>
      <c r="BI27" s="13"/>
      <c r="BJ27" s="13"/>
      <c r="BK27" s="13"/>
      <c r="BL27" s="13"/>
      <c r="BM27" s="13"/>
      <c r="BN27" s="13"/>
    </row>
    <row r="28" spans="1:66" s="14" customFormat="1" ht="18">
      <c r="A28" s="13" t="str">
        <f ca="1">IF(ISERROR(VALUE(SUBSTITUTE(prevWBS,".",""))),"0.0.1",IF(ISERROR(FIND("`",SUBSTITUTE(prevWBS,".","`",2))),prevWBS&amp;".1",LEFT(prevWBS,FIND("`",SUBSTITUTE(prevWBS,".","`",2)))&amp;IF(ISERROR(FIND("`",SUBSTITUTE(prevWBS,".","`",3))),VALUE(RIGHT(prevWBS,LEN(prevWBS)-FIND("`",SUBSTITUTE(prevWBS,".","`",2))))+1,VALUE(MID(prevWBS,FIND("`",SUBSTITUTE(prevWBS,".","`",2))+1,(FIND("`",SUBSTITUTE(prevWBS,".","`",3))-FIND("`",SUBSTITUTE(prevWBS,".","`",2))-1)))+1)))</f>
        <v>2.8.4</v>
      </c>
      <c r="B28" s="50" t="s">
        <v>39</v>
      </c>
      <c r="C28" s="14" t="s">
        <v>23</v>
      </c>
      <c r="D28" s="49"/>
      <c r="E28" s="32">
        <v>46108</v>
      </c>
      <c r="F28" s="33">
        <f>IF(ISBLANK(E28)," - ",IF(G28=0,E28,E28+G28-1))</f>
        <v>46112</v>
      </c>
      <c r="G28" s="15">
        <v>5</v>
      </c>
      <c r="H28" s="16">
        <v>0</v>
      </c>
      <c r="I28" s="17">
        <f>IF(OR(F28=0,E28=0)," - ",NETWORKDAYS(E28,F28))</f>
        <v>3</v>
      </c>
      <c r="J28" s="30"/>
      <c r="K28" s="13"/>
      <c r="L28" s="13"/>
      <c r="M28" s="13"/>
      <c r="N28" s="13"/>
      <c r="O28" s="13"/>
      <c r="P28" s="13"/>
      <c r="Q28" s="13"/>
      <c r="R28" s="13"/>
      <c r="S28" s="13"/>
      <c r="T28" s="13"/>
      <c r="U28" s="13"/>
      <c r="V28" s="13"/>
      <c r="W28" s="13"/>
      <c r="X28" s="13"/>
      <c r="Y28" s="13"/>
      <c r="Z28" s="13"/>
      <c r="AA28" s="13"/>
      <c r="AB28" s="13"/>
      <c r="AC28" s="13"/>
      <c r="AD28" s="13"/>
      <c r="AE28" s="13"/>
      <c r="AF28" s="13"/>
      <c r="AG28" s="13"/>
      <c r="AH28" s="13"/>
      <c r="AI28" s="13"/>
      <c r="AJ28" s="13"/>
      <c r="AK28" s="13"/>
      <c r="AL28" s="13"/>
      <c r="AM28" s="13"/>
      <c r="AN28" s="13"/>
      <c r="AO28" s="13"/>
      <c r="AP28" s="13"/>
      <c r="AQ28" s="13"/>
      <c r="AR28" s="13"/>
      <c r="AS28" s="13"/>
      <c r="AT28" s="13"/>
      <c r="AU28" s="13"/>
      <c r="AV28" s="13"/>
      <c r="AW28" s="13"/>
      <c r="AX28" s="13"/>
      <c r="AY28" s="13"/>
      <c r="AZ28" s="13"/>
      <c r="BA28" s="13"/>
      <c r="BB28" s="13"/>
      <c r="BC28" s="13"/>
      <c r="BD28" s="13"/>
      <c r="BE28" s="13"/>
      <c r="BF28" s="13"/>
      <c r="BG28" s="13"/>
      <c r="BH28" s="13"/>
      <c r="BI28" s="13"/>
      <c r="BJ28" s="13"/>
      <c r="BK28" s="13"/>
      <c r="BL28" s="13"/>
      <c r="BM28" s="13"/>
      <c r="BN28" s="13"/>
    </row>
    <row r="29" spans="1:66" s="4" customFormat="1">
      <c r="A29" s="58" t="s">
        <v>40</v>
      </c>
      <c r="B29" s="58"/>
      <c r="C29" s="58"/>
      <c r="D29" s="58"/>
      <c r="E29" s="58"/>
      <c r="F29" s="58"/>
    </row>
  </sheetData>
  <sheetProtection formatCells="0" formatColumns="0" formatRows="0" insertRows="0" deleteRows="0"/>
  <mergeCells count="20">
    <mergeCell ref="AF4:AL4"/>
    <mergeCell ref="AF5:AL5"/>
    <mergeCell ref="BH4:BN4"/>
    <mergeCell ref="BH5:BN5"/>
    <mergeCell ref="AM5:AS5"/>
    <mergeCell ref="AT4:AZ4"/>
    <mergeCell ref="AT5:AZ5"/>
    <mergeCell ref="AM4:AS4"/>
    <mergeCell ref="BA4:BG4"/>
    <mergeCell ref="BA5:BG5"/>
    <mergeCell ref="A29:F29"/>
    <mergeCell ref="K1:AE1"/>
    <mergeCell ref="C5:E5"/>
    <mergeCell ref="R4:X4"/>
    <mergeCell ref="K4:Q4"/>
    <mergeCell ref="C4:E4"/>
    <mergeCell ref="R5:X5"/>
    <mergeCell ref="K5:Q5"/>
    <mergeCell ref="Y4:AE4"/>
    <mergeCell ref="Y5:AE5"/>
  </mergeCells>
  <phoneticPr fontId="3" type="noConversion"/>
  <conditionalFormatting sqref="H8:H15 H17:H28">
    <cfRule type="dataBar" priority="2">
      <dataBar>
        <cfvo type="num" val="0"/>
        <cfvo type="num" val="1"/>
        <color theme="0" tint="-0.34998626667073579"/>
      </dataBar>
      <extLst>
        <ext xmlns:x14="http://schemas.microsoft.com/office/spreadsheetml/2009/9/main" uri="{B025F937-C7B1-47D3-B67F-A62EFF666E3E}">
          <x14:id>{0A58A75E-4698-465A-8593-F06B91A3A900}</x14:id>
        </ext>
      </extLst>
    </cfRule>
  </conditionalFormatting>
  <conditionalFormatting sqref="K6:BN7">
    <cfRule type="expression" dxfId="3" priority="45">
      <formula>K$6=TODAY()</formula>
    </cfRule>
  </conditionalFormatting>
  <conditionalFormatting sqref="K6:BN28">
    <cfRule type="expression" dxfId="2" priority="8">
      <formula>K$6=TODAY()</formula>
    </cfRule>
  </conditionalFormatting>
  <conditionalFormatting sqref="K8:BN28">
    <cfRule type="expression" dxfId="1" priority="48">
      <formula>AND($E8&lt;=K$6,ROUNDDOWN(($F8-$E8+1)*$H8,0)+$E8-1&gt;=K$6)</formula>
    </cfRule>
    <cfRule type="expression" dxfId="0" priority="49">
      <formula>AND(NOT(ISBLANK($E8)),$E8&lt;=K$6,$F8&gt;=K$6)</formula>
    </cfRule>
  </conditionalFormatting>
  <dataValidations count="1">
    <dataValidation allowBlank="1" showInputMessage="1" promptTitle="Display Week" prompt="Enter the week number to display first in the Gantt Chart. The weeks are numbered starting from the week containing the Project Start Date." sqref="H4" xr:uid="{00000000-0002-0000-0000-000000000000}"/>
  </dataValidations>
  <pageMargins left="0.25" right="0.25" top="0.5" bottom="0.5" header="0.5" footer="0.25"/>
  <pageSetup scale="63" fitToHeight="0" orientation="landscape" r:id="rId1"/>
  <headerFooter alignWithMargins="0"/>
  <ignoredErrors>
    <ignoredError sqref="H19" unlockedFormula="1"/>
    <ignoredError sqref="A16" 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8238" r:id="rId4" name="Scroll Bar 46">
              <controlPr defaultSize="0" print="0" autoPict="0">
                <anchor moveWithCells="1">
                  <from>
                    <xdr:col>9</xdr:col>
                    <xdr:colOff>101600</xdr:colOff>
                    <xdr:row>1</xdr:row>
                    <xdr:rowOff>127000</xdr:rowOff>
                  </from>
                  <to>
                    <xdr:col>27</xdr:col>
                    <xdr:colOff>101600</xdr:colOff>
                    <xdr:row>2</xdr:row>
                    <xdr:rowOff>114300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0A58A75E-4698-465A-8593-F06B91A3A900}">
            <x14:dataBar minLength="0" maxLength="100" gradient="0">
              <x14:cfvo type="num">
                <xm:f>0</xm:f>
              </x14:cfvo>
              <x14:cfvo type="num">
                <xm:f>1</xm:f>
              </x14:cfvo>
              <x14:negativeFillColor rgb="FFFF0000"/>
              <x14:axisColor rgb="FF000000"/>
            </x14:dataBar>
          </x14:cfRule>
          <xm:sqref>H8:H15 H17:H28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Eli McNeely</cp:lastModifiedBy>
  <cp:revision/>
  <dcterms:created xsi:type="dcterms:W3CDTF">2010-06-09T16:05:03Z</dcterms:created>
  <dcterms:modified xsi:type="dcterms:W3CDTF">2026-03-31T12:45:27Z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2018 Vertex42 LLC</vt:lpwstr>
  </property>
  <property fmtid="{D5CDD505-2E9C-101B-9397-08002B2CF9AE}" pid="3" name="Version">
    <vt:lpwstr>3.1.0</vt:lpwstr>
  </property>
  <property fmtid="{D5CDD505-2E9C-101B-9397-08002B2CF9AE}" pid="4" name="Source">
    <vt:lpwstr>https://www.vertex42.com/ExcelTemplates/excel-gantt-chart.html</vt:lpwstr>
  </property>
</Properties>
</file>